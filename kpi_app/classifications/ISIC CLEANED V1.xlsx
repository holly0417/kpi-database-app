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yeon.yoo\PycharmProjects\testKPIDatabase\kpi_app\classifications\"/>
    </mc:Choice>
  </mc:AlternateContent>
  <xr:revisionPtr revIDLastSave="0" documentId="13_ncr:1_{0EC5C587-3E05-43B2-AF16-9964AAB07683}" xr6:coauthVersionLast="47" xr6:coauthVersionMax="47" xr10:uidLastSave="{00000000-0000-0000-0000-000000000000}"/>
  <bookViews>
    <workbookView xWindow="1920" yWindow="2625" windowWidth="21600" windowHeight="11295" xr2:uid="{5907DD9C-5346-4BC6-9DF7-4B7911EF4F29}"/>
  </bookViews>
  <sheets>
    <sheet name="SUBINDUSTRY" sheetId="9" r:id="rId1"/>
    <sheet name="INDUSTRY" sheetId="5" r:id="rId2"/>
    <sheet name="INDUSTRYGROUP" sheetId="3" r:id="rId3"/>
    <sheet name="SECTOR" sheetId="4" r:id="rId4"/>
    <sheet name="ISIC_Rev_5_english_structur (2)" sheetId="2" r:id="rId5"/>
    <sheet name="ISIC_Rev_5_english_structure (1" sheetId="1" r:id="rId6"/>
  </sheets>
  <definedNames>
    <definedName name="_xlnm._FilterDatabase" localSheetId="1" hidden="1">INDUSTRY!$A$1:$D$259</definedName>
    <definedName name="_xlnm._FilterDatabase" localSheetId="2" hidden="1">INDUSTRYGROUP!$A$1:$D$374</definedName>
    <definedName name="_xlnm._FilterDatabase" localSheetId="3" hidden="1">SECTOR!$A$1:$B$23</definedName>
    <definedName name="_xlnm._FilterDatabase" localSheetId="0" hidden="1">SUBINDUSTRY!$A$1:$D$464</definedName>
    <definedName name="ExternalData_1" localSheetId="4" hidden="1">'ISIC_Rev_5_english_structur (2)'!$A$1:$B$832</definedName>
    <definedName name="sector">INDUSTRYGROUP!$C$1:$D$23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3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E2" i="2"/>
  <c r="D11" i="2"/>
  <c r="D27" i="2"/>
  <c r="D35" i="2"/>
  <c r="D43" i="2"/>
  <c r="D51" i="2"/>
  <c r="D75" i="2"/>
  <c r="D91" i="2"/>
  <c r="D99" i="2"/>
  <c r="D107" i="2"/>
  <c r="D115" i="2"/>
  <c r="D139" i="2"/>
  <c r="D155" i="2"/>
  <c r="D163" i="2"/>
  <c r="D171" i="2"/>
  <c r="D179" i="2"/>
  <c r="D203" i="2"/>
  <c r="D219" i="2"/>
  <c r="D227" i="2"/>
  <c r="D235" i="2"/>
  <c r="D243" i="2"/>
  <c r="D256" i="2"/>
  <c r="D264" i="2"/>
  <c r="D267" i="2"/>
  <c r="D272" i="2"/>
  <c r="D275" i="2"/>
  <c r="D288" i="2"/>
  <c r="D296" i="2"/>
  <c r="D299" i="2"/>
  <c r="D303" i="2"/>
  <c r="D304" i="2"/>
  <c r="D311" i="2"/>
  <c r="D314" i="2"/>
  <c r="D315" i="2"/>
  <c r="D319" i="2"/>
  <c r="D320" i="2"/>
  <c r="D327" i="2"/>
  <c r="D330" i="2"/>
  <c r="D331" i="2"/>
  <c r="D335" i="2"/>
  <c r="D336" i="2"/>
  <c r="D340" i="2"/>
  <c r="D344" i="2"/>
  <c r="D346" i="2"/>
  <c r="D347" i="2"/>
  <c r="D348" i="2"/>
  <c r="D354" i="2"/>
  <c r="D356" i="2"/>
  <c r="D359" i="2"/>
  <c r="D360" i="2"/>
  <c r="D362" i="2"/>
  <c r="D367" i="2"/>
  <c r="D370" i="2"/>
  <c r="D371" i="2"/>
  <c r="D372" i="2"/>
  <c r="D374" i="2"/>
  <c r="D378" i="2"/>
  <c r="D380" i="2"/>
  <c r="D382" i="2"/>
  <c r="D383" i="2"/>
  <c r="D384" i="2"/>
  <c r="D388" i="2"/>
  <c r="D391" i="2"/>
  <c r="D392" i="2"/>
  <c r="D394" i="2"/>
  <c r="D395" i="2"/>
  <c r="D399" i="2"/>
  <c r="D402" i="2"/>
  <c r="D403" i="2"/>
  <c r="D404" i="2"/>
  <c r="D406" i="2"/>
  <c r="D410" i="2"/>
  <c r="D412" i="2"/>
  <c r="D414" i="2"/>
  <c r="D415" i="2"/>
  <c r="D416" i="2"/>
  <c r="D420" i="2"/>
  <c r="D423" i="2"/>
  <c r="D424" i="2"/>
  <c r="D426" i="2"/>
  <c r="D427" i="2"/>
  <c r="D431" i="2"/>
  <c r="D434" i="2"/>
  <c r="D435" i="2"/>
  <c r="D436" i="2"/>
  <c r="D438" i="2"/>
  <c r="D442" i="2"/>
  <c r="D444" i="2"/>
  <c r="D446" i="2"/>
  <c r="D447" i="2"/>
  <c r="D448" i="2"/>
  <c r="D452" i="2"/>
  <c r="D455" i="2"/>
  <c r="D456" i="2"/>
  <c r="D458" i="2"/>
  <c r="D459" i="2"/>
  <c r="D463" i="2"/>
  <c r="D466" i="2"/>
  <c r="D467" i="2"/>
  <c r="D468" i="2"/>
  <c r="D470" i="2"/>
  <c r="D474" i="2"/>
  <c r="D476" i="2"/>
  <c r="D478" i="2"/>
  <c r="D479" i="2"/>
  <c r="D480" i="2"/>
  <c r="D484" i="2"/>
  <c r="D487" i="2"/>
  <c r="D488" i="2"/>
  <c r="D490" i="2"/>
  <c r="D491" i="2"/>
  <c r="D495" i="2"/>
  <c r="D498" i="2"/>
  <c r="D499" i="2"/>
  <c r="D500" i="2"/>
  <c r="D502" i="2"/>
  <c r="D506" i="2"/>
  <c r="D508" i="2"/>
  <c r="D510" i="2"/>
  <c r="D511" i="2"/>
  <c r="D512" i="2"/>
  <c r="D516" i="2"/>
  <c r="D519" i="2"/>
  <c r="D520" i="2"/>
  <c r="D522" i="2"/>
  <c r="D523" i="2"/>
  <c r="D527" i="2"/>
  <c r="D530" i="2"/>
  <c r="D531" i="2"/>
  <c r="D532" i="2"/>
  <c r="D534" i="2"/>
  <c r="D538" i="2"/>
  <c r="D540" i="2"/>
  <c r="D542" i="2"/>
  <c r="D543" i="2"/>
  <c r="D544" i="2"/>
  <c r="D548" i="2"/>
  <c r="D551" i="2"/>
  <c r="D552" i="2"/>
  <c r="D554" i="2"/>
  <c r="D555" i="2"/>
  <c r="D559" i="2"/>
  <c r="D562" i="2"/>
  <c r="D563" i="2"/>
  <c r="D564" i="2"/>
  <c r="D566" i="2"/>
  <c r="D570" i="2"/>
  <c r="D572" i="2"/>
  <c r="D574" i="2"/>
  <c r="D575" i="2"/>
  <c r="D576" i="2"/>
  <c r="D580" i="2"/>
  <c r="D583" i="2"/>
  <c r="D584" i="2"/>
  <c r="D586" i="2"/>
  <c r="D587" i="2"/>
  <c r="D591" i="2"/>
  <c r="D594" i="2"/>
  <c r="D595" i="2"/>
  <c r="D596" i="2"/>
  <c r="D598" i="2"/>
  <c r="D602" i="2"/>
  <c r="D604" i="2"/>
  <c r="D606" i="2"/>
  <c r="D607" i="2"/>
  <c r="D608" i="2"/>
  <c r="D612" i="2"/>
  <c r="D615" i="2"/>
  <c r="D616" i="2"/>
  <c r="D618" i="2"/>
  <c r="D619" i="2"/>
  <c r="D623" i="2"/>
  <c r="D626" i="2"/>
  <c r="D627" i="2"/>
  <c r="D628" i="2"/>
  <c r="D630" i="2"/>
  <c r="D634" i="2"/>
  <c r="D636" i="2"/>
  <c r="D638" i="2"/>
  <c r="D639" i="2"/>
  <c r="D640" i="2"/>
  <c r="D643" i="2"/>
  <c r="D646" i="2"/>
  <c r="D647" i="2"/>
  <c r="D648" i="2"/>
  <c r="D649" i="2"/>
  <c r="D652" i="2"/>
  <c r="D655" i="2"/>
  <c r="D656" i="2"/>
  <c r="D657" i="2"/>
  <c r="D658" i="2"/>
  <c r="D662" i="2"/>
  <c r="D664" i="2"/>
  <c r="D665" i="2"/>
  <c r="D666" i="2"/>
  <c r="D667" i="2"/>
  <c r="D671" i="2"/>
  <c r="D673" i="2"/>
  <c r="D674" i="2"/>
  <c r="D675" i="2"/>
  <c r="D676" i="2"/>
  <c r="D680" i="2"/>
  <c r="D682" i="2"/>
  <c r="D683" i="2"/>
  <c r="D684" i="2"/>
  <c r="D685" i="2"/>
  <c r="D688" i="2"/>
  <c r="D690" i="2"/>
  <c r="D691" i="2"/>
  <c r="D692" i="2"/>
  <c r="D693" i="2"/>
  <c r="D696" i="2"/>
  <c r="D698" i="2"/>
  <c r="D699" i="2"/>
  <c r="D700" i="2"/>
  <c r="D701" i="2"/>
  <c r="D704" i="2"/>
  <c r="D706" i="2"/>
  <c r="D707" i="2"/>
  <c r="D708" i="2"/>
  <c r="D709" i="2"/>
  <c r="D712" i="2"/>
  <c r="D714" i="2"/>
  <c r="D715" i="2"/>
  <c r="D716" i="2"/>
  <c r="D717" i="2"/>
  <c r="D720" i="2"/>
  <c r="D722" i="2"/>
  <c r="D723" i="2"/>
  <c r="D724" i="2"/>
  <c r="D725" i="2"/>
  <c r="D728" i="2"/>
  <c r="D730" i="2"/>
  <c r="D731" i="2"/>
  <c r="D732" i="2"/>
  <c r="D733" i="2"/>
  <c r="D736" i="2"/>
  <c r="D738" i="2"/>
  <c r="D739" i="2"/>
  <c r="D740" i="2"/>
  <c r="D741" i="2"/>
  <c r="D744" i="2"/>
  <c r="D746" i="2"/>
  <c r="D747" i="2"/>
  <c r="D748" i="2"/>
  <c r="D749" i="2"/>
  <c r="D752" i="2"/>
  <c r="D754" i="2"/>
  <c r="D755" i="2"/>
  <c r="D756" i="2"/>
  <c r="D757" i="2"/>
  <c r="D760" i="2"/>
  <c r="D762" i="2"/>
  <c r="D763" i="2"/>
  <c r="D764" i="2"/>
  <c r="D765" i="2"/>
  <c r="D768" i="2"/>
  <c r="D770" i="2"/>
  <c r="D771" i="2"/>
  <c r="D772" i="2"/>
  <c r="D773" i="2"/>
  <c r="D776" i="2"/>
  <c r="D778" i="2"/>
  <c r="D779" i="2"/>
  <c r="D780" i="2"/>
  <c r="D781" i="2"/>
  <c r="D784" i="2"/>
  <c r="D786" i="2"/>
  <c r="D787" i="2"/>
  <c r="D788" i="2"/>
  <c r="D789" i="2"/>
  <c r="D792" i="2"/>
  <c r="D794" i="2"/>
  <c r="D795" i="2"/>
  <c r="D796" i="2"/>
  <c r="D797" i="2"/>
  <c r="D800" i="2"/>
  <c r="D802" i="2"/>
  <c r="D803" i="2"/>
  <c r="D804" i="2"/>
  <c r="D805" i="2"/>
  <c r="D808" i="2"/>
  <c r="D810" i="2"/>
  <c r="D811" i="2"/>
  <c r="D812" i="2"/>
  <c r="D813" i="2"/>
  <c r="D814" i="2"/>
  <c r="D815" i="2"/>
  <c r="D816" i="2"/>
  <c r="D818" i="2"/>
  <c r="D819" i="2"/>
  <c r="D820" i="2"/>
  <c r="D821" i="2"/>
  <c r="D822" i="2"/>
  <c r="D823" i="2"/>
  <c r="D824" i="2"/>
  <c r="D826" i="2"/>
  <c r="D827" i="2"/>
  <c r="D828" i="2"/>
  <c r="D829" i="2"/>
  <c r="D830" i="2"/>
  <c r="D831" i="2"/>
  <c r="D832" i="2"/>
  <c r="D825" i="2" l="1"/>
  <c r="D817" i="2"/>
  <c r="D809" i="2"/>
  <c r="D801" i="2"/>
  <c r="D793" i="2"/>
  <c r="D785" i="2"/>
  <c r="D777" i="2"/>
  <c r="D769" i="2"/>
  <c r="D761" i="2"/>
  <c r="D753" i="2"/>
  <c r="D745" i="2"/>
  <c r="D737" i="2"/>
  <c r="D729" i="2"/>
  <c r="D721" i="2"/>
  <c r="D713" i="2"/>
  <c r="D705" i="2"/>
  <c r="D697" i="2"/>
  <c r="D689" i="2"/>
  <c r="D681" i="2"/>
  <c r="D672" i="2"/>
  <c r="D663" i="2"/>
  <c r="D654" i="2"/>
  <c r="D644" i="2"/>
  <c r="D635" i="2"/>
  <c r="D624" i="2"/>
  <c r="D614" i="2"/>
  <c r="D603" i="2"/>
  <c r="D592" i="2"/>
  <c r="D582" i="2"/>
  <c r="D571" i="2"/>
  <c r="D560" i="2"/>
  <c r="D550" i="2"/>
  <c r="D539" i="2"/>
  <c r="D528" i="2"/>
  <c r="D518" i="2"/>
  <c r="D507" i="2"/>
  <c r="D496" i="2"/>
  <c r="D486" i="2"/>
  <c r="D475" i="2"/>
  <c r="D464" i="2"/>
  <c r="D454" i="2"/>
  <c r="D443" i="2"/>
  <c r="D432" i="2"/>
  <c r="D422" i="2"/>
  <c r="D411" i="2"/>
  <c r="D400" i="2"/>
  <c r="D390" i="2"/>
  <c r="D379" i="2"/>
  <c r="D368" i="2"/>
  <c r="D355" i="2"/>
  <c r="D343" i="2"/>
  <c r="D328" i="2"/>
  <c r="D312" i="2"/>
  <c r="D291" i="2"/>
  <c r="D259" i="2"/>
  <c r="D211" i="2"/>
  <c r="D147" i="2"/>
  <c r="D83" i="2"/>
  <c r="D19" i="2"/>
  <c r="D807" i="2"/>
  <c r="D799" i="2"/>
  <c r="D791" i="2"/>
  <c r="D783" i="2"/>
  <c r="D775" i="2"/>
  <c r="D767" i="2"/>
  <c r="D759" i="2"/>
  <c r="D751" i="2"/>
  <c r="D743" i="2"/>
  <c r="D735" i="2"/>
  <c r="D727" i="2"/>
  <c r="D719" i="2"/>
  <c r="D711" i="2"/>
  <c r="D703" i="2"/>
  <c r="D695" i="2"/>
  <c r="D687" i="2"/>
  <c r="D679" i="2"/>
  <c r="D670" i="2"/>
  <c r="D660" i="2"/>
  <c r="D651" i="2"/>
  <c r="D642" i="2"/>
  <c r="D632" i="2"/>
  <c r="D622" i="2"/>
  <c r="D611" i="2"/>
  <c r="D600" i="2"/>
  <c r="D590" i="2"/>
  <c r="D579" i="2"/>
  <c r="D568" i="2"/>
  <c r="D558" i="2"/>
  <c r="D547" i="2"/>
  <c r="D536" i="2"/>
  <c r="D526" i="2"/>
  <c r="D515" i="2"/>
  <c r="D504" i="2"/>
  <c r="D494" i="2"/>
  <c r="D483" i="2"/>
  <c r="D472" i="2"/>
  <c r="D462" i="2"/>
  <c r="D451" i="2"/>
  <c r="D440" i="2"/>
  <c r="D430" i="2"/>
  <c r="D419" i="2"/>
  <c r="D408" i="2"/>
  <c r="D398" i="2"/>
  <c r="D387" i="2"/>
  <c r="D376" i="2"/>
  <c r="D364" i="2"/>
  <c r="D352" i="2"/>
  <c r="D339" i="2"/>
  <c r="D323" i="2"/>
  <c r="D307" i="2"/>
  <c r="D283" i="2"/>
  <c r="D251" i="2"/>
  <c r="D195" i="2"/>
  <c r="D131" i="2"/>
  <c r="D67" i="2"/>
  <c r="D806" i="2"/>
  <c r="D798" i="2"/>
  <c r="D790" i="2"/>
  <c r="D782" i="2"/>
  <c r="D774" i="2"/>
  <c r="D766" i="2"/>
  <c r="D758" i="2"/>
  <c r="D750" i="2"/>
  <c r="D742" i="2"/>
  <c r="D734" i="2"/>
  <c r="D726" i="2"/>
  <c r="D718" i="2"/>
  <c r="D710" i="2"/>
  <c r="D702" i="2"/>
  <c r="D694" i="2"/>
  <c r="D686" i="2"/>
  <c r="D678" i="2"/>
  <c r="D668" i="2"/>
  <c r="D659" i="2"/>
  <c r="D650" i="2"/>
  <c r="D641" i="2"/>
  <c r="D631" i="2"/>
  <c r="D620" i="2"/>
  <c r="D610" i="2"/>
  <c r="D599" i="2"/>
  <c r="D588" i="2"/>
  <c r="D578" i="2"/>
  <c r="D567" i="2"/>
  <c r="D556" i="2"/>
  <c r="D546" i="2"/>
  <c r="D535" i="2"/>
  <c r="D524" i="2"/>
  <c r="D514" i="2"/>
  <c r="D503" i="2"/>
  <c r="D492" i="2"/>
  <c r="D482" i="2"/>
  <c r="D471" i="2"/>
  <c r="D460" i="2"/>
  <c r="D450" i="2"/>
  <c r="D439" i="2"/>
  <c r="D428" i="2"/>
  <c r="D418" i="2"/>
  <c r="D407" i="2"/>
  <c r="D396" i="2"/>
  <c r="D386" i="2"/>
  <c r="D375" i="2"/>
  <c r="D363" i="2"/>
  <c r="D351" i="2"/>
  <c r="D338" i="2"/>
  <c r="D322" i="2"/>
  <c r="D306" i="2"/>
  <c r="D280" i="2"/>
  <c r="D248" i="2"/>
  <c r="D187" i="2"/>
  <c r="D123" i="2"/>
  <c r="D6" i="2"/>
  <c r="D14" i="2"/>
  <c r="D22" i="2"/>
  <c r="D30" i="2"/>
  <c r="D38" i="2"/>
  <c r="D46" i="2"/>
  <c r="D54" i="2"/>
  <c r="D62" i="2"/>
  <c r="D70" i="2"/>
  <c r="D78" i="2"/>
  <c r="D86" i="2"/>
  <c r="D94" i="2"/>
  <c r="D102" i="2"/>
  <c r="D110" i="2"/>
  <c r="D118" i="2"/>
  <c r="D126" i="2"/>
  <c r="D134" i="2"/>
  <c r="D142" i="2"/>
  <c r="D150" i="2"/>
  <c r="D158" i="2"/>
  <c r="D166" i="2"/>
  <c r="D174" i="2"/>
  <c r="D182" i="2"/>
  <c r="D190" i="2"/>
  <c r="D198" i="2"/>
  <c r="D206" i="2"/>
  <c r="D214" i="2"/>
  <c r="D222" i="2"/>
  <c r="D230" i="2"/>
  <c r="D238" i="2"/>
  <c r="D246" i="2"/>
  <c r="D254" i="2"/>
  <c r="D262" i="2"/>
  <c r="D270" i="2"/>
  <c r="D278" i="2"/>
  <c r="D286" i="2"/>
  <c r="D294" i="2"/>
  <c r="D302" i="2"/>
  <c r="D310" i="2"/>
  <c r="D318" i="2"/>
  <c r="D326" i="2"/>
  <c r="D334" i="2"/>
  <c r="D342" i="2"/>
  <c r="D350" i="2"/>
  <c r="D358" i="2"/>
  <c r="D366" i="2"/>
  <c r="D7" i="2"/>
  <c r="D15" i="2"/>
  <c r="D23" i="2"/>
  <c r="D31" i="2"/>
  <c r="D39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152" i="2"/>
  <c r="D160" i="2"/>
  <c r="D168" i="2"/>
  <c r="D176" i="2"/>
  <c r="D184" i="2"/>
  <c r="D192" i="2"/>
  <c r="D200" i="2"/>
  <c r="D208" i="2"/>
  <c r="D216" i="2"/>
  <c r="D224" i="2"/>
  <c r="D232" i="2"/>
  <c r="D240" i="2"/>
  <c r="D9" i="2"/>
  <c r="D17" i="2"/>
  <c r="D25" i="2"/>
  <c r="D33" i="2"/>
  <c r="D41" i="2"/>
  <c r="D49" i="2"/>
  <c r="D57" i="2"/>
  <c r="D65" i="2"/>
  <c r="D73" i="2"/>
  <c r="D81" i="2"/>
  <c r="D89" i="2"/>
  <c r="D97" i="2"/>
  <c r="D105" i="2"/>
  <c r="D113" i="2"/>
  <c r="D121" i="2"/>
  <c r="D129" i="2"/>
  <c r="D137" i="2"/>
  <c r="D145" i="2"/>
  <c r="D153" i="2"/>
  <c r="D161" i="2"/>
  <c r="D169" i="2"/>
  <c r="D177" i="2"/>
  <c r="D185" i="2"/>
  <c r="D193" i="2"/>
  <c r="D201" i="2"/>
  <c r="D209" i="2"/>
  <c r="D217" i="2"/>
  <c r="D225" i="2"/>
  <c r="D233" i="2"/>
  <c r="D241" i="2"/>
  <c r="D249" i="2"/>
  <c r="D257" i="2"/>
  <c r="D265" i="2"/>
  <c r="D273" i="2"/>
  <c r="D281" i="2"/>
  <c r="D289" i="2"/>
  <c r="D297" i="2"/>
  <c r="D305" i="2"/>
  <c r="D313" i="2"/>
  <c r="D321" i="2"/>
  <c r="D329" i="2"/>
  <c r="D337" i="2"/>
  <c r="D345" i="2"/>
  <c r="D353" i="2"/>
  <c r="D361" i="2"/>
  <c r="D369" i="2"/>
  <c r="D377" i="2"/>
  <c r="D385" i="2"/>
  <c r="D393" i="2"/>
  <c r="D401" i="2"/>
  <c r="D409" i="2"/>
  <c r="D417" i="2"/>
  <c r="D425" i="2"/>
  <c r="D433" i="2"/>
  <c r="D441" i="2"/>
  <c r="D449" i="2"/>
  <c r="D457" i="2"/>
  <c r="D465" i="2"/>
  <c r="D473" i="2"/>
  <c r="D481" i="2"/>
  <c r="D489" i="2"/>
  <c r="D497" i="2"/>
  <c r="D505" i="2"/>
  <c r="D513" i="2"/>
  <c r="D521" i="2"/>
  <c r="D529" i="2"/>
  <c r="D537" i="2"/>
  <c r="D545" i="2"/>
  <c r="D553" i="2"/>
  <c r="D561" i="2"/>
  <c r="D569" i="2"/>
  <c r="D577" i="2"/>
  <c r="D585" i="2"/>
  <c r="D593" i="2"/>
  <c r="D601" i="2"/>
  <c r="D609" i="2"/>
  <c r="D617" i="2"/>
  <c r="D625" i="2"/>
  <c r="D633" i="2"/>
  <c r="D10" i="2"/>
  <c r="D18" i="2"/>
  <c r="D26" i="2"/>
  <c r="D34" i="2"/>
  <c r="D42" i="2"/>
  <c r="D50" i="2"/>
  <c r="D58" i="2"/>
  <c r="D66" i="2"/>
  <c r="D74" i="2"/>
  <c r="D82" i="2"/>
  <c r="D90" i="2"/>
  <c r="D98" i="2"/>
  <c r="D106" i="2"/>
  <c r="D114" i="2"/>
  <c r="D122" i="2"/>
  <c r="D130" i="2"/>
  <c r="D138" i="2"/>
  <c r="D146" i="2"/>
  <c r="D154" i="2"/>
  <c r="D162" i="2"/>
  <c r="D170" i="2"/>
  <c r="D178" i="2"/>
  <c r="D186" i="2"/>
  <c r="D194" i="2"/>
  <c r="D202" i="2"/>
  <c r="D210" i="2"/>
  <c r="D218" i="2"/>
  <c r="D226" i="2"/>
  <c r="D234" i="2"/>
  <c r="D242" i="2"/>
  <c r="D250" i="2"/>
  <c r="D258" i="2"/>
  <c r="D266" i="2"/>
  <c r="D274" i="2"/>
  <c r="D282" i="2"/>
  <c r="D290" i="2"/>
  <c r="D298" i="2"/>
  <c r="D3" i="2"/>
  <c r="D4" i="2"/>
  <c r="D12" i="2"/>
  <c r="D20" i="2"/>
  <c r="D28" i="2"/>
  <c r="D36" i="2"/>
  <c r="D44" i="2"/>
  <c r="D52" i="2"/>
  <c r="D60" i="2"/>
  <c r="D68" i="2"/>
  <c r="D76" i="2"/>
  <c r="D84" i="2"/>
  <c r="D92" i="2"/>
  <c r="D100" i="2"/>
  <c r="D108" i="2"/>
  <c r="D116" i="2"/>
  <c r="D124" i="2"/>
  <c r="D132" i="2"/>
  <c r="D140" i="2"/>
  <c r="D148" i="2"/>
  <c r="D156" i="2"/>
  <c r="D164" i="2"/>
  <c r="D172" i="2"/>
  <c r="D180" i="2"/>
  <c r="D188" i="2"/>
  <c r="D196" i="2"/>
  <c r="D204" i="2"/>
  <c r="D212" i="2"/>
  <c r="D220" i="2"/>
  <c r="D228" i="2"/>
  <c r="D236" i="2"/>
  <c r="D244" i="2"/>
  <c r="D252" i="2"/>
  <c r="D260" i="2"/>
  <c r="D268" i="2"/>
  <c r="D276" i="2"/>
  <c r="D284" i="2"/>
  <c r="D292" i="2"/>
  <c r="D300" i="2"/>
  <c r="D308" i="2"/>
  <c r="D316" i="2"/>
  <c r="D324" i="2"/>
  <c r="D332" i="2"/>
  <c r="D5" i="2"/>
  <c r="D13" i="2"/>
  <c r="D21" i="2"/>
  <c r="D29" i="2"/>
  <c r="D37" i="2"/>
  <c r="D45" i="2"/>
  <c r="D53" i="2"/>
  <c r="D61" i="2"/>
  <c r="D69" i="2"/>
  <c r="D77" i="2"/>
  <c r="D85" i="2"/>
  <c r="D93" i="2"/>
  <c r="D101" i="2"/>
  <c r="D109" i="2"/>
  <c r="D117" i="2"/>
  <c r="D125" i="2"/>
  <c r="D133" i="2"/>
  <c r="D141" i="2"/>
  <c r="D149" i="2"/>
  <c r="D157" i="2"/>
  <c r="D165" i="2"/>
  <c r="D173" i="2"/>
  <c r="D181" i="2"/>
  <c r="D189" i="2"/>
  <c r="D197" i="2"/>
  <c r="D205" i="2"/>
  <c r="D213" i="2"/>
  <c r="D221" i="2"/>
  <c r="D229" i="2"/>
  <c r="D237" i="2"/>
  <c r="D245" i="2"/>
  <c r="D253" i="2"/>
  <c r="D261" i="2"/>
  <c r="D269" i="2"/>
  <c r="D277" i="2"/>
  <c r="D285" i="2"/>
  <c r="D293" i="2"/>
  <c r="D301" i="2"/>
  <c r="D309" i="2"/>
  <c r="D317" i="2"/>
  <c r="D325" i="2"/>
  <c r="D333" i="2"/>
  <c r="D341" i="2"/>
  <c r="D349" i="2"/>
  <c r="D357" i="2"/>
  <c r="D365" i="2"/>
  <c r="D373" i="2"/>
  <c r="D381" i="2"/>
  <c r="D389" i="2"/>
  <c r="D397" i="2"/>
  <c r="D405" i="2"/>
  <c r="D413" i="2"/>
  <c r="D421" i="2"/>
  <c r="D429" i="2"/>
  <c r="D437" i="2"/>
  <c r="D445" i="2"/>
  <c r="D453" i="2"/>
  <c r="D461" i="2"/>
  <c r="D469" i="2"/>
  <c r="D477" i="2"/>
  <c r="D485" i="2"/>
  <c r="D493" i="2"/>
  <c r="D501" i="2"/>
  <c r="D509" i="2"/>
  <c r="D517" i="2"/>
  <c r="D525" i="2"/>
  <c r="D533" i="2"/>
  <c r="D541" i="2"/>
  <c r="D549" i="2"/>
  <c r="D557" i="2"/>
  <c r="D565" i="2"/>
  <c r="D573" i="2"/>
  <c r="D581" i="2"/>
  <c r="D589" i="2"/>
  <c r="D597" i="2"/>
  <c r="D605" i="2"/>
  <c r="D613" i="2"/>
  <c r="D621" i="2"/>
  <c r="D629" i="2"/>
  <c r="D637" i="2"/>
  <c r="D645" i="2"/>
  <c r="D653" i="2"/>
  <c r="D661" i="2"/>
  <c r="D669" i="2"/>
  <c r="D6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7C6579-1777-485E-870F-A625B9B0274F}" keepAlive="1" name="Query - ISIC_Rev_5_english_structure (1)" description="Connection to the 'ISIC_Rev_5_english_structure (1)' query in the workbook." type="5" refreshedVersion="8" background="1" saveData="1">
    <dbPr connection="Provider=Microsoft.Mashup.OleDb.1;Data Source=$Workbook$;Location=&quot;ISIC_Rev_5_english_structure (1)&quot;;Extended Properties=&quot;&quot;" command="SELECT * FROM [ISIC_Rev_5_english_structure (1)]"/>
  </connection>
</connections>
</file>

<file path=xl/sharedStrings.xml><?xml version="1.0" encoding="utf-8"?>
<sst xmlns="http://schemas.openxmlformats.org/spreadsheetml/2006/main" count="7685" uniqueCount="2353">
  <si>
    <t>ISIC Rev 5 Code,"ISIC Rev 5 Title"</t>
  </si>
  <si>
    <t>A,"Agriculture, forestry and fishing"</t>
  </si>
  <si>
    <t>01,"Crop and animal production, hunting and related service activities"</t>
  </si>
  <si>
    <t>011,"Growing of non-perennial crops"</t>
  </si>
  <si>
    <t>0111,"Growing of cereals (except rice), leguminous crops and oil seeds"</t>
  </si>
  <si>
    <t>0112,"Growing of rice"</t>
  </si>
  <si>
    <t>0113,"Growing of vegetables and melons, roots and tubers"</t>
  </si>
  <si>
    <t>0114,"Growing of sugar cane"</t>
  </si>
  <si>
    <t>0115,"Growing of tobacco"</t>
  </si>
  <si>
    <t>0116,"Growing of fibre crops"</t>
  </si>
  <si>
    <t>0119,"Growing of other non-perennial crops"</t>
  </si>
  <si>
    <t>012,"Growing of perennial crops"</t>
  </si>
  <si>
    <t>0121,"Growing of grapes"</t>
  </si>
  <si>
    <t>0122,"Growing of tropical and subtropical fruits"</t>
  </si>
  <si>
    <t>0123,"Growing of citrus fruits"</t>
  </si>
  <si>
    <t>0124,"Growing of pome fruits and stone fruits"</t>
  </si>
  <si>
    <t>0125,"Growing of other tree and bush fruits and nuts"</t>
  </si>
  <si>
    <t>0126,"Growing of oleaginous fruits"</t>
  </si>
  <si>
    <t>0127,"Growing of beverage crops"</t>
  </si>
  <si>
    <t>0128,"Growing of spices, aromatic, drug and pharmaceutical crops"</t>
  </si>
  <si>
    <t>0129,"Growing of other perennial crops"</t>
  </si>
  <si>
    <t>013,"Plant propagation"</t>
  </si>
  <si>
    <t>0130,"Plant propagation"</t>
  </si>
  <si>
    <t>014,"Animal production"</t>
  </si>
  <si>
    <t>0141,"Raising of cattle and buffaloes"</t>
  </si>
  <si>
    <t>0142,"Raising of horses and other equines"</t>
  </si>
  <si>
    <t>0143,"Raising of camels and camelids"</t>
  </si>
  <si>
    <t>0144,"Raising of sheep and goats"</t>
  </si>
  <si>
    <t>0145,"Raising of swine and pigs"</t>
  </si>
  <si>
    <t>0146,"Raising of poultry"</t>
  </si>
  <si>
    <t>0149,"Raising of other animals"</t>
  </si>
  <si>
    <t>015,"Mixed farming"</t>
  </si>
  <si>
    <t>0150,"Mixed farming"</t>
  </si>
  <si>
    <t>016,"Support activities to agriculture and post-harvest crop activities"</t>
  </si>
  <si>
    <t>0161,"Support activities for crop production"</t>
  </si>
  <si>
    <t>0162,"Support activities for animal production"</t>
  </si>
  <si>
    <t>0163,"Post-harvest crop activities"</t>
  </si>
  <si>
    <t>0164,"Seed processing for propagation"</t>
  </si>
  <si>
    <t>017,"Hunting, trapping and related service activities"</t>
  </si>
  <si>
    <t>0170,"Hunting, trapping and related service activities"</t>
  </si>
  <si>
    <t>02,"Forestry and logging"</t>
  </si>
  <si>
    <t>021,"Silviculture and other forestry activities"</t>
  </si>
  <si>
    <t>0210,"Silviculture and other forestry activities"</t>
  </si>
  <si>
    <t>022,"Logging"</t>
  </si>
  <si>
    <t>0220,"Logging"</t>
  </si>
  <si>
    <t>023,"Gathering of non-wood forest products"</t>
  </si>
  <si>
    <t>0230,"Gathering of non-wood forest products"</t>
  </si>
  <si>
    <t>024,"Support services to forestry"</t>
  </si>
  <si>
    <t>0240,"Support services to forestry"</t>
  </si>
  <si>
    <t>03,"Fishing and aquaculture"</t>
  </si>
  <si>
    <t>031,"Fishing"</t>
  </si>
  <si>
    <t>0311,"Marine fishing"</t>
  </si>
  <si>
    <t>0312,"Freshwater fishing"</t>
  </si>
  <si>
    <t>032,"Aquaculture"</t>
  </si>
  <si>
    <t>0321,"Marine aquaculture"</t>
  </si>
  <si>
    <t>0322,"Freshwater aquaculture"</t>
  </si>
  <si>
    <t>033,"Support activities for fishing and aquaculture"</t>
  </si>
  <si>
    <t>0330,"Support activities for fishing and aquaculture"</t>
  </si>
  <si>
    <t>B,"Mining and quarrying"</t>
  </si>
  <si>
    <t>05,"Mining of coal and lignite"</t>
  </si>
  <si>
    <t>051,"Mining of hard coal"</t>
  </si>
  <si>
    <t>0510,"Mining of hard coal"</t>
  </si>
  <si>
    <t>052,"Mining of lignite"</t>
  </si>
  <si>
    <t>0520,"Mining of lignite"</t>
  </si>
  <si>
    <t>06,"Extraction of crude petroleum and natural gas"</t>
  </si>
  <si>
    <t>061,"Extraction of crude petroleum"</t>
  </si>
  <si>
    <t>0610,"Extraction of crude petroleum"</t>
  </si>
  <si>
    <t>062,"Extraction of natural gas"</t>
  </si>
  <si>
    <t>0620,"Extraction of natural gas"</t>
  </si>
  <si>
    <t>07,"Mining of metal ores"</t>
  </si>
  <si>
    <t>071,"Mining of iron ores"</t>
  </si>
  <si>
    <t>0710,"Mining of iron ores"</t>
  </si>
  <si>
    <t>072,"Mining of non-ferrous metal ores"</t>
  </si>
  <si>
    <t>0721,"Mining of uranium and thorium ores"</t>
  </si>
  <si>
    <t>0729,"Mining of other non-ferrous metal ores"</t>
  </si>
  <si>
    <t>08,"Other mining and quarrying"</t>
  </si>
  <si>
    <t>081,"Quarrying of stone, sand and clay"</t>
  </si>
  <si>
    <t>0810,"Quarrying of stone, sand and clay"</t>
  </si>
  <si>
    <t>089,"Mining and quarrying n.e.c."</t>
  </si>
  <si>
    <t>0891,"Mining of chemical and fertilizer minerals"</t>
  </si>
  <si>
    <t>0892,"Extraction of peat"</t>
  </si>
  <si>
    <t>0893,"Extraction of salt"</t>
  </si>
  <si>
    <t>0899,"Other mining and quarrying n.e.c."</t>
  </si>
  <si>
    <t>09,"Mining support service activities"</t>
  </si>
  <si>
    <t>091,"Support activities for petroleum and natural gas extraction"</t>
  </si>
  <si>
    <t>0910,"Support activities for petroleum and natural gas extraction"</t>
  </si>
  <si>
    <t>099,"Support activities for other mining and quarrying"</t>
  </si>
  <si>
    <t>0990,"Support activities for other mining and quarrying"</t>
  </si>
  <si>
    <t>C,"Manufacturing"</t>
  </si>
  <si>
    <t>10,"Manufacture of food products"</t>
  </si>
  <si>
    <t>101,"Processing and preserving of meat"</t>
  </si>
  <si>
    <t>1010,"Processing and preserving of meat"</t>
  </si>
  <si>
    <t>102,"Processing and preserving of fish, crustaceans and molluscs"</t>
  </si>
  <si>
    <t>1020,"Processing and preserving of fish, crustaceans and molluscs"</t>
  </si>
  <si>
    <t>103,"Processing and preserving of fruit and vegetables"</t>
  </si>
  <si>
    <t>1030,"Processing and preserving of fruit and vegetables"</t>
  </si>
  <si>
    <t>104,"Manufacture of vegetable and animal oils and fats"</t>
  </si>
  <si>
    <t>1040,"Manufacture of vegetable and animal oils and fats"</t>
  </si>
  <si>
    <t>105,"Manufacture of dairy products"</t>
  </si>
  <si>
    <t>1050,"Manufacture of dairy products"</t>
  </si>
  <si>
    <t>106,"Manufacture of grain mill products, starches and starch products"</t>
  </si>
  <si>
    <t>1061,"Manufacture of grain mill products"</t>
  </si>
  <si>
    <t>1062,"Manufacture of starches and starch products"</t>
  </si>
  <si>
    <t>107,"Manufacture of other food products"</t>
  </si>
  <si>
    <t>1071,"Manufacture of bakery products"</t>
  </si>
  <si>
    <t>1072,"Manufacture of sugar"</t>
  </si>
  <si>
    <t>1073,"Manufacture of cocoa, chocolate and sugar confectionery"</t>
  </si>
  <si>
    <t>1074,"Manufacture of macaroni, noodles, couscous and similar farinaceous products"</t>
  </si>
  <si>
    <t>1075,"Manufacture of prepared meals and dishes"</t>
  </si>
  <si>
    <t>1076,"Processing of coffee and tea"</t>
  </si>
  <si>
    <t>1079,"Manufacture of other food products n.e.c."</t>
  </si>
  <si>
    <t>108,"Manufacture of prepared animal feeds"</t>
  </si>
  <si>
    <t>1080,"Manufacture of prepared animal feeds"</t>
  </si>
  <si>
    <t>11,"Manufacture of beverages"</t>
  </si>
  <si>
    <t>110,"Manufacture of beverages"</t>
  </si>
  <si>
    <t>1101,"Distilling, rectifying and blending of spirits"</t>
  </si>
  <si>
    <t>1102,"Manufacture of wines"</t>
  </si>
  <si>
    <t>1103,"Manufacture of beer"</t>
  </si>
  <si>
    <t>1104,"Manufacture of malt"</t>
  </si>
  <si>
    <t>1105,"Manufacture of soft drinks</t>
  </si>
  <si>
    <t xml:space="preserve"> production of mineral waters and other bottled waters"</t>
  </si>
  <si>
    <t>12,"Manufacture of tobacco products"</t>
  </si>
  <si>
    <t>120,"Manufacture of tobacco products"</t>
  </si>
  <si>
    <t>1200,"Manufacture of tobacco products"</t>
  </si>
  <si>
    <t>13,"Manufacture of textiles"</t>
  </si>
  <si>
    <t>131,"Spinning, weaving and finishing of textiles"</t>
  </si>
  <si>
    <t>1311,"Preparation and spinning of textile fibres"</t>
  </si>
  <si>
    <t>1312,"Weaving of textiles"</t>
  </si>
  <si>
    <t>1313,"Finishing of textiles"</t>
  </si>
  <si>
    <t>139,"Manufacture of other textiles"</t>
  </si>
  <si>
    <t>1391,"Manufacture of knitted and crocheted fabrics"</t>
  </si>
  <si>
    <t>1392,"Manufacture of made-up textile articles, except apparel"</t>
  </si>
  <si>
    <t>1393,"Manufacture of carpets and rugs"</t>
  </si>
  <si>
    <t>1394,"Manufacture of cordage, rope, twine and netting"</t>
  </si>
  <si>
    <t>1399,"Manufacture of other textiles n.e.c."</t>
  </si>
  <si>
    <t>14,"Manufacture of wearing apparel"</t>
  </si>
  <si>
    <t>141,"Manufacture of wearing apparel, except fur apparel"</t>
  </si>
  <si>
    <t>1410,"Manufacture of wearing apparel, except fur apparel"</t>
  </si>
  <si>
    <t>142,"Manufacture of articles of fur"</t>
  </si>
  <si>
    <t>1420,"Manufacture of articles of fur"</t>
  </si>
  <si>
    <t>143,"Manufacture of knitted and crocheted apparel"</t>
  </si>
  <si>
    <t>1430,"Manufacture of knitted and crocheted apparel"</t>
  </si>
  <si>
    <t>15,"Manufacture of leather and related products"</t>
  </si>
  <si>
    <t>151,"Tanning, dyeing, dressing of leather and fur</t>
  </si>
  <si>
    <t xml:space="preserve"> manufacture of luggage, handbags, saddlery and harness"</t>
  </si>
  <si>
    <t>1511,"Tanning and dressing of leather</t>
  </si>
  <si>
    <t xml:space="preserve"> dressing and dyeing of fur"</t>
  </si>
  <si>
    <t>1512,"Manufacture of luggage, handbags and the like, saddlery and harness of any material"</t>
  </si>
  <si>
    <t>152,"Manufacture of footwear"</t>
  </si>
  <si>
    <t>1520,"Manufacture of footwear"</t>
  </si>
  <si>
    <t>16,"Manufacture of wood and of products of wood and cork, except furniture</t>
  </si>
  <si>
    <t xml:space="preserve"> manufacture of articles of straw and plaiting materials"</t>
  </si>
  <si>
    <t>161,"Sawmilling and planing of wood"</t>
  </si>
  <si>
    <t>1610,"Sawmilling and planing of wood"</t>
  </si>
  <si>
    <t>162,"Manufacture of products of wood, cork, straw and plaiting materials"</t>
  </si>
  <si>
    <t>1621,"Manufacture of veneer sheets and wood-based panels"</t>
  </si>
  <si>
    <t>1622,"Manufacture of builders' carpentry and joinery"</t>
  </si>
  <si>
    <t>1623,"Manufacture of wooden containers"</t>
  </si>
  <si>
    <t>1629,"Manufacture of other products of wood</t>
  </si>
  <si>
    <t xml:space="preserve"> manufacture of articles of cork, straw and plaiting materials"</t>
  </si>
  <si>
    <t>17,"Manufacture of paper and paper products"</t>
  </si>
  <si>
    <t>170,"Manufacture of paper and paper products"</t>
  </si>
  <si>
    <t>1701,"Manufacture of pulp, paper and paperboard"</t>
  </si>
  <si>
    <t>1702,"Manufacture of corrugated paper and paperboard and of containers of paper and paperboard"</t>
  </si>
  <si>
    <t>1709,"Manufacture of other articles of paper and paperboard"</t>
  </si>
  <si>
    <t>18,"Printing and reproduction of recorded media"</t>
  </si>
  <si>
    <t>181,"Printing and service activities related to printing"</t>
  </si>
  <si>
    <t>1811,"Printing"</t>
  </si>
  <si>
    <t>1812,"Service activities related to printing"</t>
  </si>
  <si>
    <t>182,"Reproduction of recorded media"</t>
  </si>
  <si>
    <t>1820,"Reproduction of recorded media"</t>
  </si>
  <si>
    <t>19,"Manufacture of coke and refined petroleum products"</t>
  </si>
  <si>
    <t>191,"Manufacture of coke oven products"</t>
  </si>
  <si>
    <t>1910,"Manufacture of coke oven products"</t>
  </si>
  <si>
    <t>192,"Manufacture of refined petroleum products</t>
  </si>
  <si>
    <t xml:space="preserve"> manufacture of fossil fuel products"</t>
  </si>
  <si>
    <t>1920,"Manufacture of refined petroleum products</t>
  </si>
  <si>
    <t>20,"Manufacture of chemicals and chemical products"</t>
  </si>
  <si>
    <t>201,"Manufacture of basic chemicals, fertilizers and nitrogen compounds, plastics and synthetic rubber in primary forms"</t>
  </si>
  <si>
    <t>2011,"Manufacture of basic chemicals"</t>
  </si>
  <si>
    <t>2012,"Manufacture of fertilizers and nitrogen compounds"</t>
  </si>
  <si>
    <t>2013,"Manufacture of plastics and synthetic rubber in primary forms"</t>
  </si>
  <si>
    <t>202,"Manufacture of other chemical products"</t>
  </si>
  <si>
    <t>2021,"Manufacture of pesticides and other agrochemical products"</t>
  </si>
  <si>
    <t>2022,"Manufacture of paints, varnishes and similar coatings, printing ink and mastics"</t>
  </si>
  <si>
    <t>2023,"Manufacture of soap and detergents, cleaning and polishing preparations, perfumes and toilet preparations"</t>
  </si>
  <si>
    <t>2029,"Manufacture of other chemical products n.e.c."</t>
  </si>
  <si>
    <t>203,"Manufacture of man-made fibres"</t>
  </si>
  <si>
    <t>2030,"Manufacture of man-made fibres"</t>
  </si>
  <si>
    <t>21,"Manufacture of basic pharmaceutical products and pharmaceutical preparations"</t>
  </si>
  <si>
    <t>210,"Manufacture of pharmaceuticals, medicinal chemical and botanical products"</t>
  </si>
  <si>
    <t>2100,"Manufacture of pharmaceuticals, medicinal chemical and botanical products"</t>
  </si>
  <si>
    <t>22,"Manufacture of rubber and plastic products"</t>
  </si>
  <si>
    <t>221,"Manufacture of rubber products"</t>
  </si>
  <si>
    <t>2211,"Manufacture of rubber tyres and tubes</t>
  </si>
  <si>
    <t xml:space="preserve"> retreading and rebuilding of rubber tyres"</t>
  </si>
  <si>
    <t>2219,"Manufacture of other rubber products"</t>
  </si>
  <si>
    <t>222,"Manufacture of plastics products"</t>
  </si>
  <si>
    <t>2220,"Manufacture of plastics products"</t>
  </si>
  <si>
    <t>23,"Manufacture of other non-metallic mineral products"</t>
  </si>
  <si>
    <t>231,"Manufacture of glass and glass products"</t>
  </si>
  <si>
    <t>2310,"Manufacture of glass and glass products"</t>
  </si>
  <si>
    <t>239,"Manufacture of non-metallic mineral products n.e.c."</t>
  </si>
  <si>
    <t>2391,"Manufacture of refractory products"</t>
  </si>
  <si>
    <t>2392,"Manufacture of clay building materials"</t>
  </si>
  <si>
    <t>2393,"Manufacture of other porcelain and ceramic products"</t>
  </si>
  <si>
    <t>2394,"Manufacture of cement, lime and plaster"</t>
  </si>
  <si>
    <t>2395,"Manufacture of articles of concrete, cement and plaster"</t>
  </si>
  <si>
    <t>2396,"Cutting, shaping and finishing of stone"</t>
  </si>
  <si>
    <t>2399,"Manufacture of other non-metallic mineral products n.e.c."</t>
  </si>
  <si>
    <t>24,"Manufacture of basic metals"</t>
  </si>
  <si>
    <t>241,"Manufacture of basic iron and steel"</t>
  </si>
  <si>
    <t>2410,"Manufacture of basic iron and steel"</t>
  </si>
  <si>
    <t>242,"Manufacture of basic precious and other non-ferrous metals"</t>
  </si>
  <si>
    <t>2420,"Manufacture of basic precious and other non-ferrous metals"</t>
  </si>
  <si>
    <t>243,"Casting of metals"</t>
  </si>
  <si>
    <t>2431,"Casting of iron and steel"</t>
  </si>
  <si>
    <t>2432,"Casting of non-ferrous metals"</t>
  </si>
  <si>
    <t>25,"Manufacture of fabricated metal products, except machinery and equipment"</t>
  </si>
  <si>
    <t>251,"Manufacture of structural metal products, tanks, reservoirs and steam generators"</t>
  </si>
  <si>
    <t>2511,"Manufacture of structural metal products"</t>
  </si>
  <si>
    <t>2512,"Manufacture of tanks, reservoirs and containers of metal"</t>
  </si>
  <si>
    <t>2513,"Manufacture of steam generators, except central heating hot water boilers"</t>
  </si>
  <si>
    <t>252,"Manufacture of weapons and ammunition"</t>
  </si>
  <si>
    <t>2520,"Manufacture of weapons and ammunition"</t>
  </si>
  <si>
    <t>259,"Manufacture of other fabricated metal products</t>
  </si>
  <si>
    <t xml:space="preserve"> metalworking service activities"</t>
  </si>
  <si>
    <t>2591,"Forging, pressing, stamping and roll-forming of metal</t>
  </si>
  <si>
    <t xml:space="preserve"> powder metallurgy"</t>
  </si>
  <si>
    <t>2592,"Treatment and coating of metals</t>
  </si>
  <si>
    <t xml:space="preserve"> machining"</t>
  </si>
  <si>
    <t>2593,"Manufacture of cutlery, hand tools and general hardware"</t>
  </si>
  <si>
    <t>2599,"Manufacture of other fabricated metal products n.e.c."</t>
  </si>
  <si>
    <t>26,"Manufacture of computer, electronic and optical products"</t>
  </si>
  <si>
    <t>261,"Manufacture of electronic components and boards"</t>
  </si>
  <si>
    <t>2611,"Manufacture of solar cells, solar panels and photovoltaic inverters"</t>
  </si>
  <si>
    <t>2619,"Manufacture of other electronic components and boards"</t>
  </si>
  <si>
    <t>262,"Manufacture of computers and peripheral equipment"</t>
  </si>
  <si>
    <t>2620,"Manufacture of computers and peripheral equipment"</t>
  </si>
  <si>
    <t>263,"Manufacture of communication equipment"</t>
  </si>
  <si>
    <t>2630,"Manufacture of communication equipment"</t>
  </si>
  <si>
    <t>264,"Manufacture of consumer electronics"</t>
  </si>
  <si>
    <t>2640,"Manufacture of consumer electronics"</t>
  </si>
  <si>
    <t>265,"Manufacture of measuring, testing, navigating and control equipment</t>
  </si>
  <si>
    <t xml:space="preserve"> watches and clocks"</t>
  </si>
  <si>
    <t>2651,"Manufacture of measuring, testing, navigating and control equipment"</t>
  </si>
  <si>
    <t>2652,"Manufacture of watches and clocks"</t>
  </si>
  <si>
    <t>266,"Manufacture of irradiation, electromedical and electrotherapeutic equipment"</t>
  </si>
  <si>
    <t>2660,"Manufacture of irradiation, electromedical and electrotherapeutic equipment"</t>
  </si>
  <si>
    <t>267,"Manufacture of optical instruments and photographic equipment"</t>
  </si>
  <si>
    <t>2670,"Manufacture of optical instruments and photographic equipment"</t>
  </si>
  <si>
    <t>268,"Manufacture of magnetic and optical media"</t>
  </si>
  <si>
    <t>2680,"Manufacture of magnetic and optical media"</t>
  </si>
  <si>
    <t>27,"Manufacture of electrical equipment"</t>
  </si>
  <si>
    <t>271,"Manufacture of electric motors, generators, transformers and electricity distribution and control apparatus"</t>
  </si>
  <si>
    <t>2710,"Manufacture of electric motors, generators, transformers and electricity distribution and control apparatus"</t>
  </si>
  <si>
    <t>272,"Manufacture of batteries and accumulators"</t>
  </si>
  <si>
    <t>2720,"Manufacture of batteries and accumulators"</t>
  </si>
  <si>
    <t>273,"Manufacture of wiring and wiring devices"</t>
  </si>
  <si>
    <t>2731,"Manufacture of fibre optic cables"</t>
  </si>
  <si>
    <t>2732,"Manufacture of other electronic and electric wires and cables"</t>
  </si>
  <si>
    <t>2733,"Manufacture of wiring devices"</t>
  </si>
  <si>
    <t>274,"Manufacture of lighting equipment"</t>
  </si>
  <si>
    <t>2740,"Manufacture of lighting equipment"</t>
  </si>
  <si>
    <t>275,"Manufacture of domestic appliances"</t>
  </si>
  <si>
    <t>2750,"Manufacture of domestic appliances"</t>
  </si>
  <si>
    <t>279,"Manufacture of other electrical equipment"</t>
  </si>
  <si>
    <t>2790,"Manufacture of other electrical equipment"</t>
  </si>
  <si>
    <t>28,"Manufacture of machinery and equipment n.e.c."</t>
  </si>
  <si>
    <t>281,"Manufacture of general-purpose machinery"</t>
  </si>
  <si>
    <t>2811,"Manufacture of engines and turbines, except aircraft, vehicle and cycle engines"</t>
  </si>
  <si>
    <t>2812,"Manufacture of fluid power equipment"</t>
  </si>
  <si>
    <t>2813,"Manufacture of other pumps, compressors, taps and valves"</t>
  </si>
  <si>
    <t>2814,"Manufacture of bearings, gears, gearing and driving elements"</t>
  </si>
  <si>
    <t>2815,"Manufacture of ovens, furnaces and permanent household heating equipment"</t>
  </si>
  <si>
    <t>2816,"Manufacture of lifting and handling equipment"</t>
  </si>
  <si>
    <t>2817,"Manufacture of office machinery and equipment (except computers and peripheral equipment)"</t>
  </si>
  <si>
    <t>2818,"Manufacture of power-driven hand tools"</t>
  </si>
  <si>
    <t>2819,"Manufacture of other general-purpose machinery"</t>
  </si>
  <si>
    <t>282,"Manufacture of special-purpose machinery"</t>
  </si>
  <si>
    <t>2821,"Manufacture of agricultural and forestry machinery"</t>
  </si>
  <si>
    <t>2822,"Manufacture of metal-forming machinery and machine tools"</t>
  </si>
  <si>
    <t>2823,"Manufacture of machinery for metallurgy"</t>
  </si>
  <si>
    <t>2824,"Manufacture of machinery for mining, quarrying and construction"</t>
  </si>
  <si>
    <t>2825,"Manufacture of machinery for food, beverage and tobacco processing"</t>
  </si>
  <si>
    <t>2826,"Manufacture of machinery for textile, apparel and leather production"</t>
  </si>
  <si>
    <t>2829,"Manufacture of other special-purpose machinery"</t>
  </si>
  <si>
    <t>29,"Manufacture of motor vehicles, trailers and semi-trailers"</t>
  </si>
  <si>
    <t>291,"Manufacture of motor vehicles"</t>
  </si>
  <si>
    <t>2910,"Manufacture of motor vehicles"</t>
  </si>
  <si>
    <t>292,"Manufacture of bodies (coachwork) for motor vehicles</t>
  </si>
  <si>
    <t xml:space="preserve"> manufacture of trailers and semi-trailers"</t>
  </si>
  <si>
    <t>2920,"Manufacture of bodies (coachwork) for motor vehicles</t>
  </si>
  <si>
    <t>293,"Manufacture of parts and accessories for motor vehicles"</t>
  </si>
  <si>
    <t>2930,"Manufacture of parts and accessories for motor vehicles"</t>
  </si>
  <si>
    <t>30,"Manufacture of other transport equipment"</t>
  </si>
  <si>
    <t>301,"Building of ships and boats"</t>
  </si>
  <si>
    <t>3011,"Building of ships and floating structures"</t>
  </si>
  <si>
    <t>3012,"Building of pleasure and sporting boats"</t>
  </si>
  <si>
    <t>302,"Manufacture of railway locomotives and rolling stock"</t>
  </si>
  <si>
    <t>3020,"Manufacture of railway locomotives and rolling stock"</t>
  </si>
  <si>
    <t>303,"Manufacture of air and spacecraft and related machinery"</t>
  </si>
  <si>
    <t>3030,"Manufacture of air and spacecraft and related machinery"</t>
  </si>
  <si>
    <t>304,"Manufacture of military fighting vehicles"</t>
  </si>
  <si>
    <t>3040,"Manufacture of military fighting vehicles"</t>
  </si>
  <si>
    <t>309,"Manufacture of transport equipment n.e.c."</t>
  </si>
  <si>
    <t>3091,"Manufacture of motorcycles"</t>
  </si>
  <si>
    <t>3092,"Manufacture of bicycles and invalid carriages"</t>
  </si>
  <si>
    <t>3099,"Manufacture of other transport equipment n.e.c."</t>
  </si>
  <si>
    <t>31,"Manufacture of furniture"</t>
  </si>
  <si>
    <t>310,"Manufacture of furniture"</t>
  </si>
  <si>
    <t>3101,"Manufacture of wooden furniture"</t>
  </si>
  <si>
    <t>3102,"Manufacture of other furniture"</t>
  </si>
  <si>
    <t>32,"Other manufacturing"</t>
  </si>
  <si>
    <t>321,"Manufacture of jewellery, bijouterie and related articles"</t>
  </si>
  <si>
    <t>3211,"Manufacture of jewellery and related articles"</t>
  </si>
  <si>
    <t>3212,"Manufacture of imitation jewellery and related articles"</t>
  </si>
  <si>
    <t>322,"Manufacture of musical instruments"</t>
  </si>
  <si>
    <t>3220,"Manufacture of musical instruments"</t>
  </si>
  <si>
    <t>323,"Manufacture of sports goods"</t>
  </si>
  <si>
    <t>3230,"Manufacture of sports goods"</t>
  </si>
  <si>
    <t>324,"Manufacture of games and toys"</t>
  </si>
  <si>
    <t>3240,"Manufacture of games and toys"</t>
  </si>
  <si>
    <t>325,"Manufacture of medical and dental instruments and supplies"</t>
  </si>
  <si>
    <t>3250,"Manufacture of medical and dental instruments and supplies"</t>
  </si>
  <si>
    <t>329,"Other manufacturing n.e.c."</t>
  </si>
  <si>
    <t>3290,"Other manufacturing n.e.c."</t>
  </si>
  <si>
    <t>33,"Repair, maintenance and installation of machinery and equipment"</t>
  </si>
  <si>
    <t>331,"Repair and maintenance of fabricated metal products, machinery and equipment"</t>
  </si>
  <si>
    <t>3311,"Repair and maintenance of fabricated metal products"</t>
  </si>
  <si>
    <t>3312,"Repair and maintenance of machinery"</t>
  </si>
  <si>
    <t>3313,"Repair and maintenance of electronic and optical equipment"</t>
  </si>
  <si>
    <t>3314,"Repair and maintenance of electrical equipment"</t>
  </si>
  <si>
    <t>3315,"Repair and maintenance of transport equipment, except motor vehicles"</t>
  </si>
  <si>
    <t>3319,"Repair and maintenance of other equipment"</t>
  </si>
  <si>
    <t>332,"Installation of industrial machinery and equipment"</t>
  </si>
  <si>
    <t>3320,"Installation of industrial machinery and equipment"</t>
  </si>
  <si>
    <t>D,"Electricity, gas, steam and air conditioning supply"</t>
  </si>
  <si>
    <t>35,"Electricity, gas, steam and air conditioning supply"</t>
  </si>
  <si>
    <t>351,"Electric power generation, transmission and distribution activities"</t>
  </si>
  <si>
    <t>3511,"Electric power generation activities from non-renewable sources"</t>
  </si>
  <si>
    <t>3512,"Electric power generation activities from renewable sources"</t>
  </si>
  <si>
    <t>3513,"Electric power transmission and distribution activities"</t>
  </si>
  <si>
    <t>352,"Manufacture of gas</t>
  </si>
  <si>
    <t xml:space="preserve"> distribution of gaseous fuels through mains"</t>
  </si>
  <si>
    <t>3520,"Manufacture of gas</t>
  </si>
  <si>
    <t>353,"Steam and air conditioning supply"</t>
  </si>
  <si>
    <t>3530,"Steam and air conditioning supply"</t>
  </si>
  <si>
    <t>354,"Activities of brokers and agents for electric power and natural gas"</t>
  </si>
  <si>
    <t>3540,"Activities of brokers and agents for electric power and natural gas"</t>
  </si>
  <si>
    <t>E,"Water supply</t>
  </si>
  <si>
    <t xml:space="preserve"> sewerage, waste management and remediation activities"</t>
  </si>
  <si>
    <t>36,"Water collection, treatment and supply"</t>
  </si>
  <si>
    <t>360,"Water collection, treatment and supply"</t>
  </si>
  <si>
    <t>3600,"Water collection, treatment and supply"</t>
  </si>
  <si>
    <t>37,"Sewerage"</t>
  </si>
  <si>
    <t>370,"Sewerage"</t>
  </si>
  <si>
    <t>3700,"Sewerage"</t>
  </si>
  <si>
    <t>38,"Waste collection, treatment and disposal, and recovery activities"</t>
  </si>
  <si>
    <t>381,"Waste collection activities"</t>
  </si>
  <si>
    <t>3811,"Collection of non-hazardous waste"</t>
  </si>
  <si>
    <t>3812,"Collection of hazardous waste"</t>
  </si>
  <si>
    <t>382,"Waste treatment and disposal"</t>
  </si>
  <si>
    <t>3821,"Treatment and disposal of non-hazardous waste"</t>
  </si>
  <si>
    <t>3822,"Treatment and disposal of hazardous waste"</t>
  </si>
  <si>
    <t>383,"Materials and other waste recovery"</t>
  </si>
  <si>
    <t>3830,"Materials and other waste recovery"</t>
  </si>
  <si>
    <t>39,"Remediation and other waste management service activities"</t>
  </si>
  <si>
    <t>390,"Remediation and other waste management service activities"</t>
  </si>
  <si>
    <t>3900,"Remediation and other waste management service activities"</t>
  </si>
  <si>
    <t>F,"Construction"</t>
  </si>
  <si>
    <t>41,"Construction of residential and non-residential buildings"</t>
  </si>
  <si>
    <t>410,"Construction of residential and non-residential buildings"</t>
  </si>
  <si>
    <t>4100,"Construction of residential and non-residential buildings"</t>
  </si>
  <si>
    <t>42,"Civil engineering"</t>
  </si>
  <si>
    <t>421,"Construction of roads and railways"</t>
  </si>
  <si>
    <t>4210,"Construction of roads and railways"</t>
  </si>
  <si>
    <t>422,"Construction of utility projects"</t>
  </si>
  <si>
    <t>4220,"Construction of utility projects"</t>
  </si>
  <si>
    <t>429,"Construction of other civil engineering projects"</t>
  </si>
  <si>
    <t>4290,"Construction of other civil engineering projects"</t>
  </si>
  <si>
    <t>43,"Specialized construction activities"</t>
  </si>
  <si>
    <t>431,"Demolition and site preparation"</t>
  </si>
  <si>
    <t>4311,"Demolition"</t>
  </si>
  <si>
    <t>4312,"Site preparation"</t>
  </si>
  <si>
    <t>432,"Electrical, plumbing and other construction installation activities"</t>
  </si>
  <si>
    <t>4321,"Electrical installation"</t>
  </si>
  <si>
    <t>4322,"Plumbing, heat and air-conditioning installation"</t>
  </si>
  <si>
    <t>4329,"Other construction installation"</t>
  </si>
  <si>
    <t>433,"Building completion and finishing"</t>
  </si>
  <si>
    <t>4330,"Building completion and finishing"</t>
  </si>
  <si>
    <t>434,"Intermediation service activities for specialized construction services"</t>
  </si>
  <si>
    <t>4340,"Intermediation service activities for specialized construction services"</t>
  </si>
  <si>
    <t>439,"Other specialized construction activities"</t>
  </si>
  <si>
    <t>4390,"Other specialized construction activities"</t>
  </si>
  <si>
    <t>G,"Wholesale and retail trade"</t>
  </si>
  <si>
    <t>46,"Wholesale trade"</t>
  </si>
  <si>
    <t>461,"Wholesale on a fee or contract basis"</t>
  </si>
  <si>
    <t>4610,"Wholesale on a fee or contract basis"</t>
  </si>
  <si>
    <t>462,"Wholesale of agricultural raw materials and live animals"</t>
  </si>
  <si>
    <t>4620,"Wholesale of agricultural raw materials and live animals"</t>
  </si>
  <si>
    <t>463,"Wholesale of food, beverages and tobacco"</t>
  </si>
  <si>
    <t>4630,"Wholesale of food, beverages and tobacco"</t>
  </si>
  <si>
    <t>464,"Wholesale of household goods"</t>
  </si>
  <si>
    <t>4641,"Wholesale of textiles, clothing and footwear"</t>
  </si>
  <si>
    <t>4642,"Wholesale of household, office and shop furniture, carpets and lighting equipment"</t>
  </si>
  <si>
    <t>4649,"Wholesale of other household goods"</t>
  </si>
  <si>
    <t>465,"Wholesale of machinery, equipment and supplies"</t>
  </si>
  <si>
    <t>4651,"Wholesale of computers, computer peripheral equipment and software"</t>
  </si>
  <si>
    <t>4652,"Wholesale of electronic and telecommunications equipment and parts"</t>
  </si>
  <si>
    <t>4653,"Wholesale of agricultural machinery, equipment and supplies"</t>
  </si>
  <si>
    <t>4659,"Wholesale of other machinery and equipment"</t>
  </si>
  <si>
    <t>466,"Wholesale of motor vehicles, motorcycles and related parts and accessories"</t>
  </si>
  <si>
    <t>4661,"Wholesale of motor vehicles"</t>
  </si>
  <si>
    <t>4662,"Wholesale of motor vehicle parts and accessories"</t>
  </si>
  <si>
    <t>4663,"Wholesale of motorcycles, motorcycle parts and accessories"</t>
  </si>
  <si>
    <t>467,"Other specialized wholesale"</t>
  </si>
  <si>
    <t>4671,"Wholesale of solid, liquid and gaseous fuels and related products"</t>
  </si>
  <si>
    <t>4672,"Wholesale of metals and metal ores"</t>
  </si>
  <si>
    <t>4673,"Wholesale of construction materials, hardware, plumbing and heating equipment and supplies"</t>
  </si>
  <si>
    <t>4679,"Wholesale of chemicals, waste and scrap and other products n.e.c."</t>
  </si>
  <si>
    <t>469,"Non-specialized wholesale trade"</t>
  </si>
  <si>
    <t>4690,"Non-specialized wholesale trade"</t>
  </si>
  <si>
    <t>47,"Retail trade"</t>
  </si>
  <si>
    <t>471,"Non-specialized retail sale"</t>
  </si>
  <si>
    <t>4711,"Non-specialized retail sale with food, beverages or tobacco predominating"</t>
  </si>
  <si>
    <t>4719,"Other non-specialized retail sale"</t>
  </si>
  <si>
    <t>472,"Retail sale of food, beverages and tobacco"</t>
  </si>
  <si>
    <t>4721,"Retail sale of food"</t>
  </si>
  <si>
    <t>4722,"Retail sale of beverages"</t>
  </si>
  <si>
    <t>4723,"Retail sale of tobacco products"</t>
  </si>
  <si>
    <t>473,"Retail sale of automotive fuel"</t>
  </si>
  <si>
    <t>4730,"Retail sale of automotive fuel"</t>
  </si>
  <si>
    <t>474,"Retail sale of information and communication equipment"</t>
  </si>
  <si>
    <t>4740,"Retail sale of information and communication equipment"</t>
  </si>
  <si>
    <t>475,"Retail sale of other household equipment"</t>
  </si>
  <si>
    <t>4751,"Retail sale of textiles"</t>
  </si>
  <si>
    <t>4752,"Retail sale of hardware, building materials, paints and glass"</t>
  </si>
  <si>
    <t>4753,"Retail sale of carpets, rugs, wall and floor coverings"</t>
  </si>
  <si>
    <t>4759,"Retail sale of electrical household appliances, furniture, lighting equipment and other household articles"</t>
  </si>
  <si>
    <t>476,"Retail sale of cultural and recreational goods"</t>
  </si>
  <si>
    <t>4761,"Retail sale of books, newspapers, stationery and office supplies"</t>
  </si>
  <si>
    <t>4762,"Retail sale of sporting equipment"</t>
  </si>
  <si>
    <t>4763,"Retail sale of games and toys"</t>
  </si>
  <si>
    <t>4769,"Retail sale of cultural and recreational goods n.e.c."</t>
  </si>
  <si>
    <t>477,"Retail sale of other goods, except motor vehicles and motorcycles"</t>
  </si>
  <si>
    <t>4771,"Retail sale of clothing, footwear and leather articles"</t>
  </si>
  <si>
    <t>4772,"Retail sale of pharmaceutical and medical goods, cosmetic and toilet articles"</t>
  </si>
  <si>
    <t>4773,"Retail sale of other new goods n.e.c."</t>
  </si>
  <si>
    <t>4774,"Retail sale of second-hand goods"</t>
  </si>
  <si>
    <t>478,"Retail sale of motor vehicles, motorcycles and related parts and accessories"</t>
  </si>
  <si>
    <t>4781,"Retail sale of motor vehicles"</t>
  </si>
  <si>
    <t>4782,"Retail sale of motor vehicle parts and accessories"</t>
  </si>
  <si>
    <t>4783,"Retail sale of motorcycles, motorcycles parts and accessories"</t>
  </si>
  <si>
    <t>479,"Intermediation service activities for retail sale"</t>
  </si>
  <si>
    <t>4790,"Intermediation service activities for retail sale"</t>
  </si>
  <si>
    <t>H,"Transportation and storage"</t>
  </si>
  <si>
    <t>49,"Land transport and transport via pipelines"</t>
  </si>
  <si>
    <t>491,"Transport via railways"</t>
  </si>
  <si>
    <t>4911,"Passenger rail transport, interurban"</t>
  </si>
  <si>
    <t>4912,"Freight rail transport"</t>
  </si>
  <si>
    <t>492,"Other land transport"</t>
  </si>
  <si>
    <t>4921,"Urban and suburban passenger land transport"</t>
  </si>
  <si>
    <t>4922,"Other passenger land transport"</t>
  </si>
  <si>
    <t>4923,"Freight transport by road"</t>
  </si>
  <si>
    <t>493,"Transport via pipeline"</t>
  </si>
  <si>
    <t>4930,"Transport via pipeline"</t>
  </si>
  <si>
    <t>50,"Water transport"</t>
  </si>
  <si>
    <t>501,"Sea and coastal water transport"</t>
  </si>
  <si>
    <t>5011,"Sea and coastal passenger water transport"</t>
  </si>
  <si>
    <t>5012,"Sea and coastal freight water transport"</t>
  </si>
  <si>
    <t>502,"Inland water transport"</t>
  </si>
  <si>
    <t>5021,"Inland passenger water transport"</t>
  </si>
  <si>
    <t>5022,"Inland freight water transport"</t>
  </si>
  <si>
    <t>51,"Air transport"</t>
  </si>
  <si>
    <t>511,"Passenger air transport"</t>
  </si>
  <si>
    <t>5110,"Passenger air transport"</t>
  </si>
  <si>
    <t>512,"Freight air transport"</t>
  </si>
  <si>
    <t>5120,"Freight air transport"</t>
  </si>
  <si>
    <t>52,"Warehousing and support activities for transportation"</t>
  </si>
  <si>
    <t>521,"Warehousing and storage"</t>
  </si>
  <si>
    <t>5210,"Warehousing and storage"</t>
  </si>
  <si>
    <t>522,"Support activities for transportation"</t>
  </si>
  <si>
    <t>5221,"Service activities incidental to land transportation"</t>
  </si>
  <si>
    <t>5222,"Service activities incidental to water transportation"</t>
  </si>
  <si>
    <t>5223,"Service activities incidental to air transportation"</t>
  </si>
  <si>
    <t>5224,"Cargo handling"</t>
  </si>
  <si>
    <t>5229,"Other support activities for transportation "</t>
  </si>
  <si>
    <t>523,"Intermediation service activities for transportation"</t>
  </si>
  <si>
    <t>5231,"Intermediation service activities for freight transportation"</t>
  </si>
  <si>
    <t>5232,"Intermediation service activities for passenger transportation"</t>
  </si>
  <si>
    <t>53,"Postal and courier activities"</t>
  </si>
  <si>
    <t>531,"Postal activities"</t>
  </si>
  <si>
    <t>5310,"Postal activities"</t>
  </si>
  <si>
    <t>532,"Courier activities"</t>
  </si>
  <si>
    <t>5320,"Courier activities"</t>
  </si>
  <si>
    <t>533,"Intermediation service activities for postal and courier activities"</t>
  </si>
  <si>
    <t>5330,"Intermediation service activities for postal and courier activities"</t>
  </si>
  <si>
    <t>I,"Accommodation and food service activities"</t>
  </si>
  <si>
    <t>55,"Accommodation"</t>
  </si>
  <si>
    <t>551,"Hotels and similar accommodation activities"</t>
  </si>
  <si>
    <t>5510,"Hotels and similar accommodation activities"</t>
  </si>
  <si>
    <t>552,"Other short term accommodation activities"</t>
  </si>
  <si>
    <t>5520,"Other short term accommodation activities"</t>
  </si>
  <si>
    <t>553,"Camping grounds, recreational vehicle parks and trailer parks"</t>
  </si>
  <si>
    <t>5530,"Camping grounds, recreational vehicle parks and trailer parks"</t>
  </si>
  <si>
    <t>554,"Intermediation service activities for accommodation"</t>
  </si>
  <si>
    <t>5540,"Intermediation service activities for accommodation"</t>
  </si>
  <si>
    <t>559,"Other accommodation n.e.c."</t>
  </si>
  <si>
    <t>5590,"Other accommodation n.e.c."</t>
  </si>
  <si>
    <t>56,"Food and beverage service activities"</t>
  </si>
  <si>
    <t>561,"Restaurants and mobile food service activities"</t>
  </si>
  <si>
    <t>5610,"Restaurants and mobile food service activities"</t>
  </si>
  <si>
    <t>562,"Event catering and other food service activities"</t>
  </si>
  <si>
    <t>5621,"Event catering activities"</t>
  </si>
  <si>
    <t>5629,"Other food service activities"</t>
  </si>
  <si>
    <t>563,"Beverage serving activities"</t>
  </si>
  <si>
    <t>5630,"Beverage serving activities"</t>
  </si>
  <si>
    <t>564,"Intermediation service activities for food and beverage services activities"</t>
  </si>
  <si>
    <t>5640,"Intermediation service activities for food and beverage services activities"</t>
  </si>
  <si>
    <t>J,"Publishing, broadcasting, and content production and distribution activities"</t>
  </si>
  <si>
    <t>58,"Publishing activities"</t>
  </si>
  <si>
    <t>581,"Publishing of books, newspapers, periodicals and other publishing activities"</t>
  </si>
  <si>
    <t>5811,"Publishing of books"</t>
  </si>
  <si>
    <t>5812,"Publishing of newspapers"</t>
  </si>
  <si>
    <t>5813,"Publishing of journals and periodicals"</t>
  </si>
  <si>
    <t>5819,"Other publishing activities"</t>
  </si>
  <si>
    <t>582,"Software publishing"</t>
  </si>
  <si>
    <t>5821,"Publishing of video games"</t>
  </si>
  <si>
    <t>5829,"Other software publishing"</t>
  </si>
  <si>
    <t>59,"Motion picture, video and television programme production, sound recording and music publishing activities"</t>
  </si>
  <si>
    <t>591,"Motion picture, video and television programme activities"</t>
  </si>
  <si>
    <t>5911,"Motion picture, video and television programme production activities"</t>
  </si>
  <si>
    <t>5912,"Motion picture, video and television programme post-production activities"</t>
  </si>
  <si>
    <t>5913,"Motion picture, video and television programme distribution activities"</t>
  </si>
  <si>
    <t>5914,"Motion picture projection activities"</t>
  </si>
  <si>
    <t>592,"Sound recording and music publishing activities"</t>
  </si>
  <si>
    <t>5920,"Sound recording and music publishing activities"</t>
  </si>
  <si>
    <t>60,"Programming, broadcasting, news agency and other content distribution activities"</t>
  </si>
  <si>
    <t>601,"Radio broadcasting and audio distribution activities"</t>
  </si>
  <si>
    <t>6010,"Radio broadcasting and audio distribution activities"</t>
  </si>
  <si>
    <t>602,"Television programming, broadcasting and video distribution activities"</t>
  </si>
  <si>
    <t>6020,"Television programming, broadcasting and video distribution activities"</t>
  </si>
  <si>
    <t>603,"News agency and other content distribution activities"</t>
  </si>
  <si>
    <t>6031,"News agency activities"</t>
  </si>
  <si>
    <t>6039,"Social network sites and other content distribution activities"</t>
  </si>
  <si>
    <t>K,"Telecommunications, computer programming, consultancy, computing infrastructure, and other information service activities"</t>
  </si>
  <si>
    <t>61,"Telecommunications"</t>
  </si>
  <si>
    <t>611,"Wired, wireless, and satellite telecommunication activities"</t>
  </si>
  <si>
    <t>6110,"Wired, wireless, and satellite telecommunication activities"</t>
  </si>
  <si>
    <t>612,"Telecommunication reselling activities and intermediation service activities for telecommunication"</t>
  </si>
  <si>
    <t>6120,"Telecommunication reselling activities and intermediation service activities for telecommunication"</t>
  </si>
  <si>
    <t>619,"Other telecommunication activities"</t>
  </si>
  <si>
    <t>6190,"Other telecommunication activities"</t>
  </si>
  <si>
    <t>62,"Computer programming, consultancy and related activities"</t>
  </si>
  <si>
    <t>621,"Computer programming activities"</t>
  </si>
  <si>
    <t>6211,"Development of video games, video game software, and video game software tools"</t>
  </si>
  <si>
    <t>6219,"Other computer programming activities"</t>
  </si>
  <si>
    <t>622,"Computer consultancy and computer facilities management activities"</t>
  </si>
  <si>
    <t>6220,"Computer consultancy and computer facilities management activities"</t>
  </si>
  <si>
    <t>629,"Other information technology and computer service activities"</t>
  </si>
  <si>
    <t>6290,"Other information technology and computer service activities"</t>
  </si>
  <si>
    <t>63,"Computing infrastructure, data processing, hosting, and other information service activities"</t>
  </si>
  <si>
    <t>631,"Computing infrastructure, data processing, hosting and related activities"</t>
  </si>
  <si>
    <t>6310,"Computing infrastructure, data processing, hosting and related activities"</t>
  </si>
  <si>
    <t>639,"Web search portals activities and other information service activities"</t>
  </si>
  <si>
    <t>6390,"Web search portals activities and other information service activities"</t>
  </si>
  <si>
    <t>L,"Financial and insurance activities"</t>
  </si>
  <si>
    <t>64,"Financial service activities, except insurance and pension funding"</t>
  </si>
  <si>
    <t>641,"Monetary intermediation"</t>
  </si>
  <si>
    <t>6411,"Central banking"</t>
  </si>
  <si>
    <t>6419,"Other monetary intermediation"</t>
  </si>
  <si>
    <t>642,"Activities of holding companies and financing conduits"</t>
  </si>
  <si>
    <t>6421,"Activities of holding companies"</t>
  </si>
  <si>
    <t>6422,"Activities of financing conduits"</t>
  </si>
  <si>
    <t>643,"Activities of trusts, funds and similar financial entities"</t>
  </si>
  <si>
    <t>6431,"Activities of money market funds"</t>
  </si>
  <si>
    <t>6432,"Activities of non-money market investments funds"</t>
  </si>
  <si>
    <t>6433,"Activities of trust, estate and agency accounts"</t>
  </si>
  <si>
    <t>649,"Other financial service activities, except insurance and pension funding activities"</t>
  </si>
  <si>
    <t>6491,"Financial leasing activities"</t>
  </si>
  <si>
    <t>6492,"International trade financing activities"</t>
  </si>
  <si>
    <t>6493,"Factoring activities"</t>
  </si>
  <si>
    <t>6494,"Securitisation activities"</t>
  </si>
  <si>
    <t>6495,"Other credit granting activities"</t>
  </si>
  <si>
    <t>6499,"Other financial service activities n.e.c., except insurance and pension funding activities"</t>
  </si>
  <si>
    <t>65,"Insurance, reinsurance and pension funding, except compulsory social security"</t>
  </si>
  <si>
    <t>651,"Insurance"</t>
  </si>
  <si>
    <t>6511,"Life insurance"</t>
  </si>
  <si>
    <t>6512,"Non-life insurance"</t>
  </si>
  <si>
    <t>652,"Reinsurance"</t>
  </si>
  <si>
    <t>6520,"Reinsurance"</t>
  </si>
  <si>
    <t>653,"Pension funding"</t>
  </si>
  <si>
    <t>6530,"Pension funding"</t>
  </si>
  <si>
    <t>66,"Activities auxiliary to financial service and insurance activities"</t>
  </si>
  <si>
    <t>661,"Activities auxiliary to financial services, except insurance and pension funding"</t>
  </si>
  <si>
    <t>6611,"Administration of financial markets"</t>
  </si>
  <si>
    <t>6612,"Security and commodity contracts brokerage"</t>
  </si>
  <si>
    <t>6619,"Other activities auxiliary to financial service activities, except insurance and pension funding "</t>
  </si>
  <si>
    <t>662,"Activities auxiliary to insurance and pension funding"</t>
  </si>
  <si>
    <t>6621,"Risk and damage evaluation"</t>
  </si>
  <si>
    <t>6622,"Activities of insurance agents and brokers"</t>
  </si>
  <si>
    <t>6629,"Other activities auxiliary to insurance and pension funding"</t>
  </si>
  <si>
    <t>663,"Fund management activities"</t>
  </si>
  <si>
    <t>6630,"Fund management activities"</t>
  </si>
  <si>
    <t>M,"Real estate activities"</t>
  </si>
  <si>
    <t>68,"Real estate activities"</t>
  </si>
  <si>
    <t>681,"Real estate activities with own or leased property"</t>
  </si>
  <si>
    <t>6810,"Real estate activities with own or leased property"</t>
  </si>
  <si>
    <t>682,"Real estate activities on a fee or contract basis"</t>
  </si>
  <si>
    <t>6821,"Intermediation service activities for real estate"</t>
  </si>
  <si>
    <t>6829,"Other real estate activities on a fee or contract basis"</t>
  </si>
  <si>
    <t>N,"Professional, scientific and technical activities"</t>
  </si>
  <si>
    <t>69,"Legal and accounting activities"</t>
  </si>
  <si>
    <t>691,"Legal activities"</t>
  </si>
  <si>
    <t>6910,"Legal activities"</t>
  </si>
  <si>
    <t>692,"Accounting, bookkeeping and auditing activities</t>
  </si>
  <si>
    <t xml:space="preserve"> tax consultancy"</t>
  </si>
  <si>
    <t>6920,"Accounting, bookkeeping and auditing activities</t>
  </si>
  <si>
    <t>70,"Activities of head offices</t>
  </si>
  <si>
    <t xml:space="preserve"> management consultancy activities"</t>
  </si>
  <si>
    <t>701,"Activities of head offices"</t>
  </si>
  <si>
    <t>7010,"Activities of head offices"</t>
  </si>
  <si>
    <t>702,"Business and other management consultancy activities"</t>
  </si>
  <si>
    <t>7020,"Business and other management consultancy activities"</t>
  </si>
  <si>
    <t>71,"Architectural and engineering activities</t>
  </si>
  <si>
    <t xml:space="preserve"> technical testing and analysis"</t>
  </si>
  <si>
    <t>711,"Architectural and engineering, and related technical consultancy activities"</t>
  </si>
  <si>
    <t>7110,"Architectural and engineering, and related technical consultancy activities"</t>
  </si>
  <si>
    <t>712,"Technical testing and analysis"</t>
  </si>
  <si>
    <t>7120,"Technical testing and analysis"</t>
  </si>
  <si>
    <t>72,"Scientific research and development "</t>
  </si>
  <si>
    <t>721,"Research and experimental development on natural sciences and engineering"</t>
  </si>
  <si>
    <t>7210,"Research and experimental development on natural sciences and engineering"</t>
  </si>
  <si>
    <t>722,"Research and experimental development on social sciences and humanities"</t>
  </si>
  <si>
    <t>7220,"Research and experimental development on social sciences and humanities"</t>
  </si>
  <si>
    <t>73,"Activities of advertising, market research and public relations"</t>
  </si>
  <si>
    <t>731,"Advertising activities "</t>
  </si>
  <si>
    <t>7310,"Advertising activities "</t>
  </si>
  <si>
    <t>732,"Market research and public opinion polling activities "</t>
  </si>
  <si>
    <t>7320,"Market research and public opinion polling activities "</t>
  </si>
  <si>
    <t>733,"Public relations activities"</t>
  </si>
  <si>
    <t>7330,"Public relations activities"</t>
  </si>
  <si>
    <t>74,"Other professional, scientific and technical activities"</t>
  </si>
  <si>
    <t>741,"Specialized design activities "</t>
  </si>
  <si>
    <t>7410,"Specialized design activities "</t>
  </si>
  <si>
    <t>742,"Photographic activities "</t>
  </si>
  <si>
    <t>7420,"Photographic activities "</t>
  </si>
  <si>
    <t>743,"Translation and interpretation activities "</t>
  </si>
  <si>
    <t>7430,"Translation and interpretation activities "</t>
  </si>
  <si>
    <t>749,"Other professional, scientific and technical activities n.e.c."</t>
  </si>
  <si>
    <t>7491,"Patent brokering and marketing service activities"</t>
  </si>
  <si>
    <t>7499,"All other professional, scientific and technical activities n.e.c. "</t>
  </si>
  <si>
    <t>75,"Veterinary activities "</t>
  </si>
  <si>
    <t>750,"Veterinary activities "</t>
  </si>
  <si>
    <t>7500,"Veterinary activities "</t>
  </si>
  <si>
    <t>O,"Administrative and support service activities"</t>
  </si>
  <si>
    <t>77,"Rental and leasing activities"</t>
  </si>
  <si>
    <t>771,"Rental and leasing of motor vehicles"</t>
  </si>
  <si>
    <t>7710,"Rental and leasing of motor vehicles"</t>
  </si>
  <si>
    <t>772,"Rental and leasing of personal and household goods"</t>
  </si>
  <si>
    <t>7721,"Rental and leasing of recreational and sports goods"</t>
  </si>
  <si>
    <t>7729,"Rental and leasing of other personal and household goods"</t>
  </si>
  <si>
    <t>773,"Rental and leasing of other machinery, equipment and tangible goods"</t>
  </si>
  <si>
    <t>7730,"Rental and leasing of other machinery, equipment and tangible goods"</t>
  </si>
  <si>
    <t>774,"Leasing of intellectual property and similar products, except copyrighted works"</t>
  </si>
  <si>
    <t>7740,"Leasing of intellectual property and similar products, except copyrighted works"</t>
  </si>
  <si>
    <t>775,"Intermediation service activities for rental and leasing of tangible goods and non-financial intangible assets"</t>
  </si>
  <si>
    <t>7751,"Intermediation service activities for rental and leasing of cars, motorhomes and trailers"</t>
  </si>
  <si>
    <t>7752,"Intermediation service activities for rental and leasing of other tangible goods and non-financial intangible assets"</t>
  </si>
  <si>
    <t>78,"Employment activities"</t>
  </si>
  <si>
    <t>781,"Activities of employment placement agencies"</t>
  </si>
  <si>
    <t>7810,"Activities of employment placement agencies"</t>
  </si>
  <si>
    <t>782,"Temporary employment agency activities and other human resource provisions"</t>
  </si>
  <si>
    <t>7820,"Temporary employment agency activities and other human resource provisions"</t>
  </si>
  <si>
    <t>79,"Travel agency, tour operator, and other travel related activities"</t>
  </si>
  <si>
    <t>791,"Travel agency and tour operator activities"</t>
  </si>
  <si>
    <t>7911,"Travel agency activities"</t>
  </si>
  <si>
    <t>7912,"Tour operator activities"</t>
  </si>
  <si>
    <t>799,"Other travel related activities"</t>
  </si>
  <si>
    <t>7990,"Other travel related activities"</t>
  </si>
  <si>
    <t>80,"Investigation and security activities"</t>
  </si>
  <si>
    <t>801,"Investigation and security activities"</t>
  </si>
  <si>
    <t>8011,"Investigation and private security activities"</t>
  </si>
  <si>
    <t>8019,"Security activities n.e.c."</t>
  </si>
  <si>
    <t>81,"Services to buildings and landscape activities"</t>
  </si>
  <si>
    <t>811,"Combined facilities support activities"</t>
  </si>
  <si>
    <t>8110,"Combined facilities support activities"</t>
  </si>
  <si>
    <t>812,"Cleaning activities"</t>
  </si>
  <si>
    <t>8121,"General cleaning of buildings"</t>
  </si>
  <si>
    <t>8129,"Other cleaning activities"</t>
  </si>
  <si>
    <t>813,"Landscape service activities"</t>
  </si>
  <si>
    <t>8130,"Landscape service activities"</t>
  </si>
  <si>
    <t>82,"Office administrative, office support and other business support activities"</t>
  </si>
  <si>
    <t>821,"Office administrative and support activities"</t>
  </si>
  <si>
    <t>8210,"Office administrative and support activities"</t>
  </si>
  <si>
    <t>822,"Activities of call centres"</t>
  </si>
  <si>
    <t>8220,"Activities of call centres"</t>
  </si>
  <si>
    <t>823,"Organization of conventions and trade shows"</t>
  </si>
  <si>
    <t>8230,"Organization of conventions and trade shows"</t>
  </si>
  <si>
    <t>824,"Intermediation service activities for business support activities n.e.c., except financial intermediation"</t>
  </si>
  <si>
    <t>8240,"Intermediation service activities for business support activities n.e.c., except financial intermediation"</t>
  </si>
  <si>
    <t>829,"Business support service activities n.e.c."</t>
  </si>
  <si>
    <t>8291,"Activities of collection agencies and credit bureaus"</t>
  </si>
  <si>
    <t>8292,"Packaging activities"</t>
  </si>
  <si>
    <t>8299,"Other business support service activities n.e.c."</t>
  </si>
  <si>
    <t>P,"Public administration and defence</t>
  </si>
  <si>
    <t xml:space="preserve"> compulsory social security"</t>
  </si>
  <si>
    <t>84,"Public administration and defence</t>
  </si>
  <si>
    <t>841,"Administration of the State and the economic, social and environmental policies of the community"</t>
  </si>
  <si>
    <t>8411,"General public administration activities"</t>
  </si>
  <si>
    <t>8412,"Regulation of the activities of providing health care, education, cultural services and other social services, excluding social security and environment"</t>
  </si>
  <si>
    <t>8413,"Regulation of the activities of providing environmental services"</t>
  </si>
  <si>
    <t>8414,"Regulation of and contribution to more efficient operation of businesses"</t>
  </si>
  <si>
    <t>842,"Provision of services to the community as a whole"</t>
  </si>
  <si>
    <t>8421,"Foreign affairs"</t>
  </si>
  <si>
    <t>8422,"Defence activities"</t>
  </si>
  <si>
    <t>8423,"Public order and safety activities"</t>
  </si>
  <si>
    <t>843,"Compulsory social security activities"</t>
  </si>
  <si>
    <t>8430,"Compulsory social security activities"</t>
  </si>
  <si>
    <t>Q,"Education"</t>
  </si>
  <si>
    <t>85,"Education"</t>
  </si>
  <si>
    <t>851,"Pre-primary education "</t>
  </si>
  <si>
    <t>8510,"Pre-primary education "</t>
  </si>
  <si>
    <t>852,"Primary education "</t>
  </si>
  <si>
    <t>8520,"Primary education "</t>
  </si>
  <si>
    <t>853,"Secondary and post-secondary non-tertiary education"</t>
  </si>
  <si>
    <t>8531,"General secondary education "</t>
  </si>
  <si>
    <t>8532,"Vocational secondary education"</t>
  </si>
  <si>
    <t>8533,"Post-secondary non-tertiary education "</t>
  </si>
  <si>
    <t>854,"Tertiary education"</t>
  </si>
  <si>
    <t>8540,"Tertiary education"</t>
  </si>
  <si>
    <t>855,"Other education"</t>
  </si>
  <si>
    <t>8551," Sports and recreation education "</t>
  </si>
  <si>
    <t>8552," Cultural education"</t>
  </si>
  <si>
    <t>8553,"Driving school activities"</t>
  </si>
  <si>
    <t>8559,"Other education n.e.c."</t>
  </si>
  <si>
    <t>856,"Educational support activities"</t>
  </si>
  <si>
    <t>8561,"Intermediation service activities for courses and tutors"</t>
  </si>
  <si>
    <t>8569,"Other educational support activities"</t>
  </si>
  <si>
    <t>R,"Human health and social work activities"</t>
  </si>
  <si>
    <t>86,"Human health activities"</t>
  </si>
  <si>
    <t>861,"Hospital activities"</t>
  </si>
  <si>
    <t>8610,"Hospital activities"</t>
  </si>
  <si>
    <t>862,"Medical and dental practice activities "</t>
  </si>
  <si>
    <t>8620,"Medical and dental practice activities "</t>
  </si>
  <si>
    <t>869,"Other human health activities "</t>
  </si>
  <si>
    <t>8691,"Intermediation service activities for medical, dental, and other human health services"</t>
  </si>
  <si>
    <t>8699,"Other human health activities n.e.c"</t>
  </si>
  <si>
    <t>87,"Residential care activities"</t>
  </si>
  <si>
    <t>871,"Residential nursing care activities "</t>
  </si>
  <si>
    <t>8710,"Residential nursing care activities "</t>
  </si>
  <si>
    <t>872,"Residential care activities for persons living with or having a diagnosis of a mental illness or substance abuse"</t>
  </si>
  <si>
    <t>8720,"Residential care activities for persons living with or having a diagnosis of a mental illness or substance abuse"</t>
  </si>
  <si>
    <t>873,"Residential care activities for older persons or persons with physical disabilities"</t>
  </si>
  <si>
    <t>8730,"Residential care activities for older persons or persons with physical disabilities"</t>
  </si>
  <si>
    <t>879,"Other residential care activities"</t>
  </si>
  <si>
    <t>8791,"Intermediation service activities for residential care activities"</t>
  </si>
  <si>
    <t>8799,"Other residential care activities n.e.c."</t>
  </si>
  <si>
    <t>88,"Social work activities without accommodation "</t>
  </si>
  <si>
    <t>881,"Social work activities without accommodation for older persons or persons with disabilities"</t>
  </si>
  <si>
    <t>8810,"Social work activities without accommodation for older persons or persons with disabilities"</t>
  </si>
  <si>
    <t>889,"Other social work activities without accommodation"</t>
  </si>
  <si>
    <t>8890,"Other social work activities without accommodation"</t>
  </si>
  <si>
    <t>S,"Arts, sports and recreation"</t>
  </si>
  <si>
    <t>90,"Arts creation and performing arts activities"</t>
  </si>
  <si>
    <t>901,"Arts creation activities"</t>
  </si>
  <si>
    <t>9011,"Literary creation and musical composition activities"</t>
  </si>
  <si>
    <t>9012,"Visual arts creation activities "</t>
  </si>
  <si>
    <t>9013,"Other arts creation activities "</t>
  </si>
  <si>
    <t>902,"Activities of performing arts "</t>
  </si>
  <si>
    <t>9020,"Activities of performing arts "</t>
  </si>
  <si>
    <t>903,"Support activities to arts creation and performing arts"</t>
  </si>
  <si>
    <t>9031,"Operation of arts facilities and sites "</t>
  </si>
  <si>
    <t>9039,"Other support activities to arts creation and performing arts"</t>
  </si>
  <si>
    <t>91,"Library, archives, museum and other cultural activities "</t>
  </si>
  <si>
    <t>911,"Library and archive activities"</t>
  </si>
  <si>
    <t>9111,"Library activities"</t>
  </si>
  <si>
    <t>9112,"Archive activities"</t>
  </si>
  <si>
    <t>912,"Museum, collection, historical site and monument activities"</t>
  </si>
  <si>
    <t>9121,"Museum and collection activities "</t>
  </si>
  <si>
    <t>9122,"Historical site and monument activities"</t>
  </si>
  <si>
    <t>913,"Conservation, restoration and other support activities for cultural heritage "</t>
  </si>
  <si>
    <t>9130,"Conservation, restoration and other support activities for cultural heritage "</t>
  </si>
  <si>
    <t>914,"Botanical and zoological garden and nature reserve activities"</t>
  </si>
  <si>
    <t>9141,"Botanical and zoological garden activities "</t>
  </si>
  <si>
    <t>9142,"Nature reserve activities"</t>
  </si>
  <si>
    <t>92,"Gambling and betting activities"</t>
  </si>
  <si>
    <t>920,"Gambling and betting activities"</t>
  </si>
  <si>
    <t>9200,"Gambling and betting activities"</t>
  </si>
  <si>
    <t>93,"Sports activities and amusement and recreation activities"</t>
  </si>
  <si>
    <t>931,"Sports activities "</t>
  </si>
  <si>
    <t>9311,"Operation of sports facilities"</t>
  </si>
  <si>
    <t>9312,"Activities of sports clubs "</t>
  </si>
  <si>
    <t>9319,"Other sports activities "</t>
  </si>
  <si>
    <t>932,"Amusement and recreation activities "</t>
  </si>
  <si>
    <t>9321,"Activities of amusement parks and theme parks"</t>
  </si>
  <si>
    <t>9329,"Other amusement and recreation activities"</t>
  </si>
  <si>
    <t>T,"Other service activities"</t>
  </si>
  <si>
    <t>94,"Activities of membership organizations"</t>
  </si>
  <si>
    <t>941,"Activities of business, employers and professional membership organizations"</t>
  </si>
  <si>
    <t>9411,"Activities of business and employers membership organizations"</t>
  </si>
  <si>
    <t>9412,"Activities of professional membership organizations"</t>
  </si>
  <si>
    <t>942,"Activities of trade unions"</t>
  </si>
  <si>
    <t>9420,"Activities of trade unions"</t>
  </si>
  <si>
    <t>949,"Activities of other membership organizations"</t>
  </si>
  <si>
    <t>9491,"Activities of religious organizations"</t>
  </si>
  <si>
    <t>9492,"Activities of political organizations"</t>
  </si>
  <si>
    <t>9499,"Activities of other membership organizations n.e.c."</t>
  </si>
  <si>
    <t>95,"Repair and maintenance of computers, personal and household goods, and motor vehicles and motorcycles"</t>
  </si>
  <si>
    <t>951,"Repair and maintenance of computers and communication equipment"</t>
  </si>
  <si>
    <t>9510,"Repair and maintenance of computers and communication equipment"</t>
  </si>
  <si>
    <t>952,"Repair and maintenance of personal and household goods"</t>
  </si>
  <si>
    <t>9521,"Repair and maintenance of consumer electronics"</t>
  </si>
  <si>
    <t>9522,"Repair and maintenance of household appliances and home and garden equipment"</t>
  </si>
  <si>
    <t>9523,"Repair and maintenance of footwear and leather goods"</t>
  </si>
  <si>
    <t>9524,"Repair and maintenance of furniture and home furnishings"</t>
  </si>
  <si>
    <t>9529,"Repair and maintenance of other personal and household goods"</t>
  </si>
  <si>
    <t>953,"Repair and maintenance of motor vehicles and motorcycles"</t>
  </si>
  <si>
    <t>9531,"Repair and maintenance of motor vehicles"</t>
  </si>
  <si>
    <t>9532,"Repair and maintenance of motorcycles"</t>
  </si>
  <si>
    <t>954,"Intermediation service activities for repair and maintenance of computers, personal and household goods, and motor vehicles and motorcycles"</t>
  </si>
  <si>
    <t>9540,"Intermediation service activities for repair and maintenance of computers, personal and household goods, and motor vehicles and motorcycles"</t>
  </si>
  <si>
    <t>96,"Personal service activities"</t>
  </si>
  <si>
    <t>961,"Washing and cleaning of textile and fur products"</t>
  </si>
  <si>
    <t>9610,"Washing and cleaning of textile and fur products"</t>
  </si>
  <si>
    <t>962,"Hairdressing, beauty treatment, day spa and similar activities"</t>
  </si>
  <si>
    <t>9621,"Hairdressing and barber activities"</t>
  </si>
  <si>
    <t>9622,"Beauty care and other beauty treatment activities"</t>
  </si>
  <si>
    <t>9623,"Day spa, sauna and steam bath activities"</t>
  </si>
  <si>
    <t>963,"Funeral and related activities"</t>
  </si>
  <si>
    <t>9630,"Funeral and related activities"</t>
  </si>
  <si>
    <t>964,"Intermediation service activities for personal services"</t>
  </si>
  <si>
    <t>9640,"Intermediation service activities for personal services"</t>
  </si>
  <si>
    <t>969,"Other personal service activities n.e.c."</t>
  </si>
  <si>
    <t>9690,"Other personal service activities n.e.c."</t>
  </si>
  <si>
    <t>U,"Activities of households as employers</t>
  </si>
  <si>
    <t xml:space="preserve"> undifferentiated goods- and services-producing activities of households for own use"</t>
  </si>
  <si>
    <t>97,"Activities of households as employers of domestic personnel"</t>
  </si>
  <si>
    <t>970,"Activities of households as employers of domestic personnel"</t>
  </si>
  <si>
    <t>9700,"Activities of households as employers of domestic personnel"</t>
  </si>
  <si>
    <t>98,"Undifferentiated goods- and services-producing activities of private households for own use"</t>
  </si>
  <si>
    <t>981,"Undifferentiated goods-producing activities of private households for own use"</t>
  </si>
  <si>
    <t>9810,"Undifferentiated goods-producing activities of private households for own use"</t>
  </si>
  <si>
    <t>982,"Undifferentiated service-producing activities of private households for own use"</t>
  </si>
  <si>
    <t>9820,"Undifferentiated service-producing activities of private households for own use"</t>
  </si>
  <si>
    <t>V,"Activities of extraterritorial organizations and bodies "</t>
  </si>
  <si>
    <t>99,"Activities of extraterritorial organizations and bodies "</t>
  </si>
  <si>
    <t>990,"Activities of extraterritorial organizations and bodies "</t>
  </si>
  <si>
    <t>9900,"Activities of extraterritorial organizations and bodies "</t>
  </si>
  <si>
    <t>Column1</t>
  </si>
  <si>
    <t>Column2</t>
  </si>
  <si>
    <t>ISIC Rev 5 Code</t>
  </si>
  <si>
    <t>ISIC Rev 5 Title</t>
  </si>
  <si>
    <t>A</t>
  </si>
  <si>
    <t>Agriculture, forestry and fishing</t>
  </si>
  <si>
    <t>01</t>
  </si>
  <si>
    <t>Crop and animal production, hunting and related service activities</t>
  </si>
  <si>
    <t>011</t>
  </si>
  <si>
    <t>Growing of non-perennial crops</t>
  </si>
  <si>
    <t>0111</t>
  </si>
  <si>
    <t>Growing of cereals (except rice), leguminous crops and oil seeds</t>
  </si>
  <si>
    <t>0112</t>
  </si>
  <si>
    <t>Growing of rice</t>
  </si>
  <si>
    <t>0113</t>
  </si>
  <si>
    <t>Growing of vegetables and melons, roots and tubers</t>
  </si>
  <si>
    <t>0114</t>
  </si>
  <si>
    <t>Growing of sugar cane</t>
  </si>
  <si>
    <t>0115</t>
  </si>
  <si>
    <t>Growing of tobacco</t>
  </si>
  <si>
    <t>0116</t>
  </si>
  <si>
    <t>Growing of fibre crops</t>
  </si>
  <si>
    <t>0119</t>
  </si>
  <si>
    <t>Growing of other non-perennial crops</t>
  </si>
  <si>
    <t>012</t>
  </si>
  <si>
    <t>Growing of perennial crops</t>
  </si>
  <si>
    <t>0121</t>
  </si>
  <si>
    <t>Growing of grapes</t>
  </si>
  <si>
    <t>0122</t>
  </si>
  <si>
    <t>Growing of tropical and subtropical fruits</t>
  </si>
  <si>
    <t>0123</t>
  </si>
  <si>
    <t>Growing of citrus fruits</t>
  </si>
  <si>
    <t>0124</t>
  </si>
  <si>
    <t>Growing of pome fruits and stone fruits</t>
  </si>
  <si>
    <t>0125</t>
  </si>
  <si>
    <t>Growing of other tree and bush fruits and nuts</t>
  </si>
  <si>
    <t>0126</t>
  </si>
  <si>
    <t>Growing of oleaginous fruits</t>
  </si>
  <si>
    <t>0127</t>
  </si>
  <si>
    <t>Growing of beverage crops</t>
  </si>
  <si>
    <t>0128</t>
  </si>
  <si>
    <t>Growing of spices, aromatic, drug and pharmaceutical crops</t>
  </si>
  <si>
    <t>0129</t>
  </si>
  <si>
    <t>Growing of other perennial crops</t>
  </si>
  <si>
    <t>013</t>
  </si>
  <si>
    <t>Plant propagation</t>
  </si>
  <si>
    <t>0130</t>
  </si>
  <si>
    <t>014</t>
  </si>
  <si>
    <t>Animal production</t>
  </si>
  <si>
    <t>0141</t>
  </si>
  <si>
    <t>Raising of cattle and buffaloes</t>
  </si>
  <si>
    <t>0142</t>
  </si>
  <si>
    <t>Raising of horses and other equines</t>
  </si>
  <si>
    <t>0143</t>
  </si>
  <si>
    <t>Raising of camels and camelids</t>
  </si>
  <si>
    <t>0144</t>
  </si>
  <si>
    <t>Raising of sheep and goats</t>
  </si>
  <si>
    <t>0145</t>
  </si>
  <si>
    <t>Raising of swine and pigs</t>
  </si>
  <si>
    <t>0146</t>
  </si>
  <si>
    <t>Raising of poultry</t>
  </si>
  <si>
    <t>0149</t>
  </si>
  <si>
    <t>Raising of other animals</t>
  </si>
  <si>
    <t>015</t>
  </si>
  <si>
    <t>Mixed farming</t>
  </si>
  <si>
    <t>0150</t>
  </si>
  <si>
    <t>016</t>
  </si>
  <si>
    <t>Support activities to agriculture and post-harvest crop activities</t>
  </si>
  <si>
    <t>0161</t>
  </si>
  <si>
    <t>Support activities for crop production</t>
  </si>
  <si>
    <t>0162</t>
  </si>
  <si>
    <t>Support activities for animal production</t>
  </si>
  <si>
    <t>0163</t>
  </si>
  <si>
    <t>Post-harvest crop activities</t>
  </si>
  <si>
    <t>0164</t>
  </si>
  <si>
    <t>Seed processing for propagation</t>
  </si>
  <si>
    <t>017</t>
  </si>
  <si>
    <t>Hunting, trapping and related service activities</t>
  </si>
  <si>
    <t>0170</t>
  </si>
  <si>
    <t>02</t>
  </si>
  <si>
    <t>Forestry and logging</t>
  </si>
  <si>
    <t>021</t>
  </si>
  <si>
    <t>Silviculture and other forestry activities</t>
  </si>
  <si>
    <t>0210</t>
  </si>
  <si>
    <t>022</t>
  </si>
  <si>
    <t>Logging</t>
  </si>
  <si>
    <t>0220</t>
  </si>
  <si>
    <t>023</t>
  </si>
  <si>
    <t>Gathering of non-wood forest products</t>
  </si>
  <si>
    <t>0230</t>
  </si>
  <si>
    <t>024</t>
  </si>
  <si>
    <t>Support services to forestry</t>
  </si>
  <si>
    <t>0240</t>
  </si>
  <si>
    <t>03</t>
  </si>
  <si>
    <t>Fishing and aquaculture</t>
  </si>
  <si>
    <t>031</t>
  </si>
  <si>
    <t>Fishing</t>
  </si>
  <si>
    <t>0311</t>
  </si>
  <si>
    <t>Marine fishing</t>
  </si>
  <si>
    <t>0312</t>
  </si>
  <si>
    <t>Freshwater fishing</t>
  </si>
  <si>
    <t>032</t>
  </si>
  <si>
    <t>Aquaculture</t>
  </si>
  <si>
    <t>0321</t>
  </si>
  <si>
    <t>Marine aquaculture</t>
  </si>
  <si>
    <t>0322</t>
  </si>
  <si>
    <t>Freshwater aquaculture</t>
  </si>
  <si>
    <t>033</t>
  </si>
  <si>
    <t>Support activities for fishing and aquaculture</t>
  </si>
  <si>
    <t>0330</t>
  </si>
  <si>
    <t>B</t>
  </si>
  <si>
    <t>Mining and quarrying</t>
  </si>
  <si>
    <t>05</t>
  </si>
  <si>
    <t>Mining of coal and lignite</t>
  </si>
  <si>
    <t>051</t>
  </si>
  <si>
    <t>Mining of hard coal</t>
  </si>
  <si>
    <t>0510</t>
  </si>
  <si>
    <t>052</t>
  </si>
  <si>
    <t>Mining of lignite</t>
  </si>
  <si>
    <t>0520</t>
  </si>
  <si>
    <t>06</t>
  </si>
  <si>
    <t>Extraction of crude petroleum and natural gas</t>
  </si>
  <si>
    <t>061</t>
  </si>
  <si>
    <t>Extraction of crude petroleum</t>
  </si>
  <si>
    <t>0610</t>
  </si>
  <si>
    <t>062</t>
  </si>
  <si>
    <t>Extraction of natural gas</t>
  </si>
  <si>
    <t>0620</t>
  </si>
  <si>
    <t>07</t>
  </si>
  <si>
    <t>Mining of metal ores</t>
  </si>
  <si>
    <t>071</t>
  </si>
  <si>
    <t>Mining of iron ores</t>
  </si>
  <si>
    <t>0710</t>
  </si>
  <si>
    <t>072</t>
  </si>
  <si>
    <t>Mining of non-ferrous metal ores</t>
  </si>
  <si>
    <t>0721</t>
  </si>
  <si>
    <t>Mining of uranium and thorium ores</t>
  </si>
  <si>
    <t>0729</t>
  </si>
  <si>
    <t>Mining of other non-ferrous metal ores</t>
  </si>
  <si>
    <t>08</t>
  </si>
  <si>
    <t>Other mining and quarrying</t>
  </si>
  <si>
    <t>081</t>
  </si>
  <si>
    <t>Quarrying of stone, sand and clay</t>
  </si>
  <si>
    <t>0810</t>
  </si>
  <si>
    <t>089</t>
  </si>
  <si>
    <t>Mining and quarrying n.e.c.</t>
  </si>
  <si>
    <t>0891</t>
  </si>
  <si>
    <t>Mining of chemical and fertilizer minerals</t>
  </si>
  <si>
    <t>0892</t>
  </si>
  <si>
    <t>Extraction of peat</t>
  </si>
  <si>
    <t>0893</t>
  </si>
  <si>
    <t>Extraction of salt</t>
  </si>
  <si>
    <t>0899</t>
  </si>
  <si>
    <t>Other mining and quarrying n.e.c.</t>
  </si>
  <si>
    <t>09</t>
  </si>
  <si>
    <t>Mining support service activities</t>
  </si>
  <si>
    <t>091</t>
  </si>
  <si>
    <t>Support activities for petroleum and natural gas extraction</t>
  </si>
  <si>
    <t>0910</t>
  </si>
  <si>
    <t>099</t>
  </si>
  <si>
    <t>Support activities for other mining and quarrying</t>
  </si>
  <si>
    <t>0990</t>
  </si>
  <si>
    <t>C</t>
  </si>
  <si>
    <t>Manufacturing</t>
  </si>
  <si>
    <t>10</t>
  </si>
  <si>
    <t>Manufacture of food products</t>
  </si>
  <si>
    <t>101</t>
  </si>
  <si>
    <t>Processing and preserving of meat</t>
  </si>
  <si>
    <t>1010</t>
  </si>
  <si>
    <t>102</t>
  </si>
  <si>
    <t>Processing and preserving of fish, crustaceans and molluscs</t>
  </si>
  <si>
    <t>1020</t>
  </si>
  <si>
    <t>103</t>
  </si>
  <si>
    <t>Processing and preserving of fruit and vegetables</t>
  </si>
  <si>
    <t>1030</t>
  </si>
  <si>
    <t>104</t>
  </si>
  <si>
    <t>Manufacture of vegetable and animal oils and fats</t>
  </si>
  <si>
    <t>1040</t>
  </si>
  <si>
    <t>105</t>
  </si>
  <si>
    <t>Manufacture of dairy products</t>
  </si>
  <si>
    <t>1050</t>
  </si>
  <si>
    <t>106</t>
  </si>
  <si>
    <t>Manufacture of grain mill products, starches and starch products</t>
  </si>
  <si>
    <t>1061</t>
  </si>
  <si>
    <t>Manufacture of grain mill products</t>
  </si>
  <si>
    <t>1062</t>
  </si>
  <si>
    <t>Manufacture of starches and starch products</t>
  </si>
  <si>
    <t>107</t>
  </si>
  <si>
    <t>Manufacture of other food products</t>
  </si>
  <si>
    <t>1071</t>
  </si>
  <si>
    <t>Manufacture of bakery products</t>
  </si>
  <si>
    <t>1072</t>
  </si>
  <si>
    <t>Manufacture of sugar</t>
  </si>
  <si>
    <t>1073</t>
  </si>
  <si>
    <t>Manufacture of cocoa, chocolate and sugar confectionery</t>
  </si>
  <si>
    <t>1074</t>
  </si>
  <si>
    <t>Manufacture of macaroni, noodles, couscous and similar farinaceous products</t>
  </si>
  <si>
    <t>1075</t>
  </si>
  <si>
    <t>Manufacture of prepared meals and dishes</t>
  </si>
  <si>
    <t>1076</t>
  </si>
  <si>
    <t>Processing of coffee and tea</t>
  </si>
  <si>
    <t>1079</t>
  </si>
  <si>
    <t>Manufacture of other food products n.e.c.</t>
  </si>
  <si>
    <t>108</t>
  </si>
  <si>
    <t>Manufacture of prepared animal feeds</t>
  </si>
  <si>
    <t>1080</t>
  </si>
  <si>
    <t>11</t>
  </si>
  <si>
    <t>Manufacture of beverages</t>
  </si>
  <si>
    <t>110</t>
  </si>
  <si>
    <t>1101</t>
  </si>
  <si>
    <t>Distilling, rectifying and blending of spirits</t>
  </si>
  <si>
    <t>1102</t>
  </si>
  <si>
    <t>Manufacture of wines</t>
  </si>
  <si>
    <t>1103</t>
  </si>
  <si>
    <t>Manufacture of beer</t>
  </si>
  <si>
    <t>1104</t>
  </si>
  <si>
    <t>Manufacture of malt</t>
  </si>
  <si>
    <t>1105</t>
  </si>
  <si>
    <t>Manufacture of soft drinks; production of mineral waters and other bottled waters</t>
  </si>
  <si>
    <t>12</t>
  </si>
  <si>
    <t>Manufacture of tobacco products</t>
  </si>
  <si>
    <t>120</t>
  </si>
  <si>
    <t>1200</t>
  </si>
  <si>
    <t>13</t>
  </si>
  <si>
    <t>Manufacture of textiles</t>
  </si>
  <si>
    <t>131</t>
  </si>
  <si>
    <t>Spinning, weaving and finishing of textiles</t>
  </si>
  <si>
    <t>1311</t>
  </si>
  <si>
    <t>Preparation and spinning of textile fibres</t>
  </si>
  <si>
    <t>1312</t>
  </si>
  <si>
    <t>Weaving of textiles</t>
  </si>
  <si>
    <t>1313</t>
  </si>
  <si>
    <t>Finishing of textiles</t>
  </si>
  <si>
    <t>139</t>
  </si>
  <si>
    <t>Manufacture of other textiles</t>
  </si>
  <si>
    <t>1391</t>
  </si>
  <si>
    <t>Manufacture of knitted and crocheted fabrics</t>
  </si>
  <si>
    <t>1392</t>
  </si>
  <si>
    <t>Manufacture of made-up textile articles, except apparel</t>
  </si>
  <si>
    <t>1393</t>
  </si>
  <si>
    <t>Manufacture of carpets and rugs</t>
  </si>
  <si>
    <t>1394</t>
  </si>
  <si>
    <t>Manufacture of cordage, rope, twine and netting</t>
  </si>
  <si>
    <t>1399</t>
  </si>
  <si>
    <t>Manufacture of other textiles n.e.c.</t>
  </si>
  <si>
    <t>14</t>
  </si>
  <si>
    <t>Manufacture of wearing apparel</t>
  </si>
  <si>
    <t>141</t>
  </si>
  <si>
    <t>Manufacture of wearing apparel, except fur apparel</t>
  </si>
  <si>
    <t>1410</t>
  </si>
  <si>
    <t>142</t>
  </si>
  <si>
    <t>Manufacture of articles of fur</t>
  </si>
  <si>
    <t>1420</t>
  </si>
  <si>
    <t>143</t>
  </si>
  <si>
    <t>Manufacture of knitted and crocheted apparel</t>
  </si>
  <si>
    <t>1430</t>
  </si>
  <si>
    <t>15</t>
  </si>
  <si>
    <t>Manufacture of leather and related products</t>
  </si>
  <si>
    <t>151</t>
  </si>
  <si>
    <t>Tanning, dyeing, dressing of leather and fur; manufacture of luggage, handbags, saddlery and harness</t>
  </si>
  <si>
    <t>1511</t>
  </si>
  <si>
    <t>Tanning and dressing of leather; dressing and dyeing of fur</t>
  </si>
  <si>
    <t>1512</t>
  </si>
  <si>
    <t>Manufacture of luggage, handbags and the like, saddlery and harness of any material</t>
  </si>
  <si>
    <t>152</t>
  </si>
  <si>
    <t>Manufacture of footwear</t>
  </si>
  <si>
    <t>1520</t>
  </si>
  <si>
    <t>16</t>
  </si>
  <si>
    <t>Manufacture of wood and of products of wood and cork, except furniture; manufacture of articles of straw and plaiting materials</t>
  </si>
  <si>
    <t>161</t>
  </si>
  <si>
    <t>Sawmilling and planing of wood</t>
  </si>
  <si>
    <t>1610</t>
  </si>
  <si>
    <t>162</t>
  </si>
  <si>
    <t>Manufacture of products of wood, cork, straw and plaiting materials</t>
  </si>
  <si>
    <t>1621</t>
  </si>
  <si>
    <t>Manufacture of veneer sheets and wood-based panels</t>
  </si>
  <si>
    <t>1622</t>
  </si>
  <si>
    <t>Manufacture of builders' carpentry and joinery</t>
  </si>
  <si>
    <t>1623</t>
  </si>
  <si>
    <t>Manufacture of wooden containers</t>
  </si>
  <si>
    <t>1629</t>
  </si>
  <si>
    <t>Manufacture of other products of wood; manufacture of articles of cork, straw and plaiting materials</t>
  </si>
  <si>
    <t>17</t>
  </si>
  <si>
    <t>Manufacture of paper and paper products</t>
  </si>
  <si>
    <t>170</t>
  </si>
  <si>
    <t>1701</t>
  </si>
  <si>
    <t>Manufacture of pulp, paper and paperboard</t>
  </si>
  <si>
    <t>1702</t>
  </si>
  <si>
    <t>Manufacture of corrugated paper and paperboard and of containers of paper and paperboard</t>
  </si>
  <si>
    <t>1709</t>
  </si>
  <si>
    <t>Manufacture of other articles of paper and paperboard</t>
  </si>
  <si>
    <t>18</t>
  </si>
  <si>
    <t>Printing and reproduction of recorded media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</si>
  <si>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</si>
  <si>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</si>
  <si>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</si>
  <si>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</si>
  <si>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</si>
  <si>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</si>
  <si>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</t>
  </si>
  <si>
    <t>Reproduction of recorded media</t>
  </si>
  <si>
    <t>1820</t>
  </si>
  <si>
    <t>19</t>
  </si>
  <si>
    <t>Manufacture of coke and refined petroleum products</t>
  </si>
  <si>
    <t>191</t>
  </si>
  <si>
    <t>Manufacture of coke oven products</t>
  </si>
  <si>
    <t>1910</t>
  </si>
  <si>
    <t>192</t>
  </si>
  <si>
    <t>Manufacture of refined petroleum products; manufacture of fossil fuel products</t>
  </si>
  <si>
    <t>1920</t>
  </si>
  <si>
    <t>20</t>
  </si>
  <si>
    <t>Manufacture of chemicals and chemical products</t>
  </si>
  <si>
    <t>201</t>
  </si>
  <si>
    <t>Manufacture of basic chemicals, fertilizers and nitrogen compounds, plastics and synthetic rubber in primary forms</t>
  </si>
  <si>
    <t>2011</t>
  </si>
  <si>
    <t>Manufacture of basic chemicals</t>
  </si>
  <si>
    <t>2012</t>
  </si>
  <si>
    <t>Manufacture of fertilizers and nitrogen compounds</t>
  </si>
  <si>
    <t>2013</t>
  </si>
  <si>
    <t>Manufacture of plastics and synthetic rubber in primary forms</t>
  </si>
  <si>
    <t>202</t>
  </si>
  <si>
    <t>Manufacture of other chemical products</t>
  </si>
  <si>
    <t>2021</t>
  </si>
  <si>
    <t>Manufacture of pesticides and other agrochemical products</t>
  </si>
  <si>
    <t>2022</t>
  </si>
  <si>
    <t>Manufacture of paints, varnishes and similar coatings, printing ink and mastics</t>
  </si>
  <si>
    <t>2023</t>
  </si>
  <si>
    <t>Manufacture of soap and detergents, cleaning and polishing preparations, perfumes and toilet preparations</t>
  </si>
  <si>
    <t>2029</t>
  </si>
  <si>
    <t>Manufacture of other chemical products n.e.c.</t>
  </si>
  <si>
    <t>203</t>
  </si>
  <si>
    <t>Manufacture of man-made fibres</t>
  </si>
  <si>
    <t>2030</t>
  </si>
  <si>
    <t>21</t>
  </si>
  <si>
    <t>Manufacture of basic pharmaceutical products and pharmaceutical preparations</t>
  </si>
  <si>
    <t>210</t>
  </si>
  <si>
    <t>Manufacture of pharmaceuticals, medicinal chemical and botanical products</t>
  </si>
  <si>
    <t>2100</t>
  </si>
  <si>
    <t>22</t>
  </si>
  <si>
    <t>Manufacture of rubber and plastic products</t>
  </si>
  <si>
    <t>221</t>
  </si>
  <si>
    <t>Manufacture of rubber products</t>
  </si>
  <si>
    <t>2211</t>
  </si>
  <si>
    <t>Manufacture of rubber tyres and tubes; retreading and rebuilding of rubber tyres</t>
  </si>
  <si>
    <t>2219</t>
  </si>
  <si>
    <t>Manufacture of other rubber products</t>
  </si>
  <si>
    <t>222</t>
  </si>
  <si>
    <t>Manufacture of plastics products</t>
  </si>
  <si>
    <t>2220</t>
  </si>
  <si>
    <t>23</t>
  </si>
  <si>
    <t>Manufacture of other non-metallic mineral products</t>
  </si>
  <si>
    <t>231</t>
  </si>
  <si>
    <t>Manufacture of glass and glass products</t>
  </si>
  <si>
    <t>2310</t>
  </si>
  <si>
    <t>239</t>
  </si>
  <si>
    <t>Manufacture of non-metallic mineral products n.e.c.</t>
  </si>
  <si>
    <t>2391</t>
  </si>
  <si>
    <t>Manufacture of refractory products</t>
  </si>
  <si>
    <t>2392</t>
  </si>
  <si>
    <t>Manufacture of clay building materials</t>
  </si>
  <si>
    <t>2393</t>
  </si>
  <si>
    <t>Manufacture of other porcelain and ceramic products</t>
  </si>
  <si>
    <t>2394</t>
  </si>
  <si>
    <t>Manufacture of cement, lime and plaster</t>
  </si>
  <si>
    <t>2395</t>
  </si>
  <si>
    <t>Manufacture of articles of concrete, cement and plaster</t>
  </si>
  <si>
    <t>2396</t>
  </si>
  <si>
    <t>Cutting, shaping and finishing of stone</t>
  </si>
  <si>
    <t>2399</t>
  </si>
  <si>
    <t>Manufacture of other non-metallic mineral products n.e.c.</t>
  </si>
  <si>
    <t>24</t>
  </si>
  <si>
    <t>Manufacture of basic metals</t>
  </si>
  <si>
    <t>241</t>
  </si>
  <si>
    <t>Manufacture of basic iron and steel</t>
  </si>
  <si>
    <t>2410</t>
  </si>
  <si>
    <t>242</t>
  </si>
  <si>
    <t>Manufacture of basic precious and other non-ferrous metals</t>
  </si>
  <si>
    <t>2420</t>
  </si>
  <si>
    <t>243</t>
  </si>
  <si>
    <t>Casting of metals</t>
  </si>
  <si>
    <t>2431</t>
  </si>
  <si>
    <t>Casting of iron and steel</t>
  </si>
  <si>
    <t>2432</t>
  </si>
  <si>
    <t>Casting of non-ferrous metals</t>
  </si>
  <si>
    <t>25</t>
  </si>
  <si>
    <t>Manufacture of fabricated metal products, except machinery and equipment</t>
  </si>
  <si>
    <t>251</t>
  </si>
  <si>
    <t>Manufacture of structural metal products, tanks, reservoirs and steam generators</t>
  </si>
  <si>
    <t>2511</t>
  </si>
  <si>
    <t>Manufacture of structural metal products</t>
  </si>
  <si>
    <t>2512</t>
  </si>
  <si>
    <t>Manufacture of tanks, reservoirs and containers of metal</t>
  </si>
  <si>
    <t>2513</t>
  </si>
  <si>
    <t>Manufacture of steam generators, except central heating hot water boilers</t>
  </si>
  <si>
    <t>252</t>
  </si>
  <si>
    <t>Manufacture of weapons and ammunition</t>
  </si>
  <si>
    <t>2520</t>
  </si>
  <si>
    <t>259</t>
  </si>
  <si>
    <t>Manufacture of other fabricated metal products; metalworking service activities</t>
  </si>
  <si>
    <t>2591</t>
  </si>
  <si>
    <t>Forging, pressing, stamping and roll-forming of metal; powder metallurgy</t>
  </si>
  <si>
    <t>2592</t>
  </si>
  <si>
    <t>Treatment and coating of metals; machining</t>
  </si>
  <si>
    <t>2593</t>
  </si>
  <si>
    <t>Manufacture of cutlery, hand tools and general hardware</t>
  </si>
  <si>
    <t>2599</t>
  </si>
  <si>
    <t>Manufacture of other fabricated metal products n.e.c.</t>
  </si>
  <si>
    <t>26</t>
  </si>
  <si>
    <t>Manufacture of computer, electronic and optical products</t>
  </si>
  <si>
    <t>261</t>
  </si>
  <si>
    <t>Manufacture of electronic components and boards</t>
  </si>
  <si>
    <t>2611</t>
  </si>
  <si>
    <t>Manufacture of solar cells, solar panels and photovoltaic inverters</t>
  </si>
  <si>
    <t>2619</t>
  </si>
  <si>
    <t>Manufacture of other electronic components and boards</t>
  </si>
  <si>
    <t>262</t>
  </si>
  <si>
    <t>Manufacture of computers and peripheral equipment</t>
  </si>
  <si>
    <t>2620</t>
  </si>
  <si>
    <t>263</t>
  </si>
  <si>
    <t>Manufacture of communication equipment</t>
  </si>
  <si>
    <t>2630</t>
  </si>
  <si>
    <t>264</t>
  </si>
  <si>
    <t>Manufacture of consumer electronics</t>
  </si>
  <si>
    <t>2640</t>
  </si>
  <si>
    <t>265</t>
  </si>
  <si>
    <t>Manufacture of measuring, testing, navigating and control equipment; watches and clocks</t>
  </si>
  <si>
    <t>2651</t>
  </si>
  <si>
    <t>Manufacture of measuring, testing, navigating and control equipment</t>
  </si>
  <si>
    <t>2652</t>
  </si>
  <si>
    <t>Manufacture of watches and clocks</t>
  </si>
  <si>
    <t>266</t>
  </si>
  <si>
    <t>Manufacture of irradiation, electromedical and electrotherapeutic equipment</t>
  </si>
  <si>
    <t>2660</t>
  </si>
  <si>
    <t>267</t>
  </si>
  <si>
    <t>Manufacture of optical instruments and photographic equipment</t>
  </si>
  <si>
    <t>2670</t>
  </si>
  <si>
    <t>268</t>
  </si>
  <si>
    <t>Manufacture of magnetic and optical media</t>
  </si>
  <si>
    <t>2680</t>
  </si>
  <si>
    <t>27</t>
  </si>
  <si>
    <t>Manufacture of electrical equipment</t>
  </si>
  <si>
    <t>271</t>
  </si>
  <si>
    <t>Manufacture of electric motors, generators, transformers and electricity distribution and control apparatus</t>
  </si>
  <si>
    <t>2710</t>
  </si>
  <si>
    <t>272</t>
  </si>
  <si>
    <t>Manufacture of batteries and accumulators</t>
  </si>
  <si>
    <t>2720</t>
  </si>
  <si>
    <t>273</t>
  </si>
  <si>
    <t>Manufacture of wiring and wiring devices</t>
  </si>
  <si>
    <t>2731</t>
  </si>
  <si>
    <t>Manufacture of fibre optic cables</t>
  </si>
  <si>
    <t>2732</t>
  </si>
  <si>
    <t>Manufacture of other electronic and electric wires and cables</t>
  </si>
  <si>
    <t>2733</t>
  </si>
  <si>
    <t>Manufacture of wiring devices</t>
  </si>
  <si>
    <t>274</t>
  </si>
  <si>
    <t>Manufacture of lighting equipment</t>
  </si>
  <si>
    <t>2740</t>
  </si>
  <si>
    <t>275</t>
  </si>
  <si>
    <t>Manufacture of domestic appliances</t>
  </si>
  <si>
    <t>2750</t>
  </si>
  <si>
    <t>279</t>
  </si>
  <si>
    <t>Manufacture of other electrical equipment</t>
  </si>
  <si>
    <t>2790</t>
  </si>
  <si>
    <t>28</t>
  </si>
  <si>
    <t>Manufacture of machinery and equipment n.e.c.</t>
  </si>
  <si>
    <t>281</t>
  </si>
  <si>
    <t>Manufacture of general-purpose machinery</t>
  </si>
  <si>
    <t>2811</t>
  </si>
  <si>
    <t>Manufacture of engines and turbines, except aircraft, vehicle and cycle engines</t>
  </si>
  <si>
    <t>2812</t>
  </si>
  <si>
    <t>Manufacture of fluid power equipment</t>
  </si>
  <si>
    <t>2813</t>
  </si>
  <si>
    <t>Manufacture of other pumps, compressors, taps and valves</t>
  </si>
  <si>
    <t>2814</t>
  </si>
  <si>
    <t>Manufacture of bearings, gears, gearing and driving elements</t>
  </si>
  <si>
    <t>2815</t>
  </si>
  <si>
    <t>Manufacture of ovens, furnaces and permanent household heating equipment</t>
  </si>
  <si>
    <t>2816</t>
  </si>
  <si>
    <t>Manufacture of lifting and handling equipment</t>
  </si>
  <si>
    <t>2817</t>
  </si>
  <si>
    <t>Manufacture of office machinery and equipment (except computers and peripheral equipment)</t>
  </si>
  <si>
    <t>2818</t>
  </si>
  <si>
    <t>Manufacture of power-driven hand tools</t>
  </si>
  <si>
    <t>2819</t>
  </si>
  <si>
    <t>Manufacture of other general-purpose machinery</t>
  </si>
  <si>
    <t>282</t>
  </si>
  <si>
    <t>Manufacture of special-purpose machinery</t>
  </si>
  <si>
    <t>2821</t>
  </si>
  <si>
    <t>Manufacture of agricultural and forestry machinery</t>
  </si>
  <si>
    <t>2822</t>
  </si>
  <si>
    <t>Manufacture of metal-forming machinery and machine tools</t>
  </si>
  <si>
    <t>2823</t>
  </si>
  <si>
    <t>Manufacture of machinery for metallurgy</t>
  </si>
  <si>
    <t>2824</t>
  </si>
  <si>
    <t>Manufacture of machinery for mining, quarrying and construction</t>
  </si>
  <si>
    <t>2825</t>
  </si>
  <si>
    <t>Manufacture of machinery for food, beverage and tobacco processing</t>
  </si>
  <si>
    <t>2826</t>
  </si>
  <si>
    <t>Manufacture of machinery for textile, apparel and leather production</t>
  </si>
  <si>
    <t>2829</t>
  </si>
  <si>
    <t>Manufacture of other special-purpose machinery</t>
  </si>
  <si>
    <t>29</t>
  </si>
  <si>
    <t>Manufacture of motor vehicles, trailers and semi-trailers</t>
  </si>
  <si>
    <t>291</t>
  </si>
  <si>
    <t>Manufacture of motor vehicles</t>
  </si>
  <si>
    <t>2910</t>
  </si>
  <si>
    <t>292</t>
  </si>
  <si>
    <t>Manufacture of bodies (coachwork) for motor vehicles; manufacture of trailers and semi-trailers</t>
  </si>
  <si>
    <t>2920</t>
  </si>
  <si>
    <t>293</t>
  </si>
  <si>
    <t>Manufacture of parts and accessories for motor vehicles</t>
  </si>
  <si>
    <t>2930</t>
  </si>
  <si>
    <t>30</t>
  </si>
  <si>
    <t>Manufacture of other transport equipment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</si>
  <si>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</si>
  <si>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</si>
  <si>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</si>
  <si>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</si>
  <si>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</si>
  <si>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</si>
  <si>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</t>
  </si>
  <si>
    <t>Manufacture of railway locomotives and rolling stock</t>
  </si>
  <si>
    <t>3020</t>
  </si>
  <si>
    <t>303</t>
  </si>
  <si>
    <t>Manufacture of air and spacecraft and related machinery</t>
  </si>
  <si>
    <t>3030</t>
  </si>
  <si>
    <t>304</t>
  </si>
  <si>
    <t>Manufacture of military fighting vehicles</t>
  </si>
  <si>
    <t>3040</t>
  </si>
  <si>
    <t>309</t>
  </si>
  <si>
    <t>Manufacture of transport equipment n.e.c.</t>
  </si>
  <si>
    <t>3091</t>
  </si>
  <si>
    <t>Manufacture of motorcycles</t>
  </si>
  <si>
    <t>3092</t>
  </si>
  <si>
    <t>Manufacture of bicycles and invalid carriages</t>
  </si>
  <si>
    <t>3099</t>
  </si>
  <si>
    <t>Manufacture of other transport equipment n.e.c.</t>
  </si>
  <si>
    <t>31</t>
  </si>
  <si>
    <t>Manufacture of furniture</t>
  </si>
  <si>
    <t>310</t>
  </si>
  <si>
    <t>3101</t>
  </si>
  <si>
    <t>Manufacture of wooden furniture</t>
  </si>
  <si>
    <t>3102</t>
  </si>
  <si>
    <t>Manufacture of other furniture</t>
  </si>
  <si>
    <t>32</t>
  </si>
  <si>
    <t>Other manufacturing</t>
  </si>
  <si>
    <t>321</t>
  </si>
  <si>
    <t>Manufacture of jewellery, bijouterie and related articles</t>
  </si>
  <si>
    <t>3211</t>
  </si>
  <si>
    <t>Manufacture of jewellery and related articles</t>
  </si>
  <si>
    <t>3212</t>
  </si>
  <si>
    <t>Manufacture of imitation jewellery and related articles</t>
  </si>
  <si>
    <t>322</t>
  </si>
  <si>
    <t>Manufacture of musical instruments</t>
  </si>
  <si>
    <t>3220</t>
  </si>
  <si>
    <t>323</t>
  </si>
  <si>
    <t>Manufacture of sports goods</t>
  </si>
  <si>
    <t>3230</t>
  </si>
  <si>
    <t>324</t>
  </si>
  <si>
    <t>Manufacture of games and toys</t>
  </si>
  <si>
    <t>3240</t>
  </si>
  <si>
    <t>325</t>
  </si>
  <si>
    <t>Manufacture of medical and dental instruments and supplies</t>
  </si>
  <si>
    <t>3250</t>
  </si>
  <si>
    <t>329</t>
  </si>
  <si>
    <t>Other manufacturing n.e.c.</t>
  </si>
  <si>
    <t>3290</t>
  </si>
  <si>
    <t>33</t>
  </si>
  <si>
    <t>Repair, maintenance and installation of machinery and equipment</t>
  </si>
  <si>
    <t>331</t>
  </si>
  <si>
    <t>Repair and maintenance of fabricated metal products, machinery and equipment</t>
  </si>
  <si>
    <t>3311</t>
  </si>
  <si>
    <t>Repair and maintenance of fabricated metal products</t>
  </si>
  <si>
    <t>3312</t>
  </si>
  <si>
    <t>Repair and maintenance of machinery</t>
  </si>
  <si>
    <t>3313</t>
  </si>
  <si>
    <t>Repair and maintenance of electronic and optical equipment</t>
  </si>
  <si>
    <t>3314</t>
  </si>
  <si>
    <t>Repair and maintenance of electrical equipment</t>
  </si>
  <si>
    <t>3315</t>
  </si>
  <si>
    <t>Repair and maintenance of transport equipment, except motor vehicles</t>
  </si>
  <si>
    <t>3319</t>
  </si>
  <si>
    <t>Repair and maintenance of other equipment</t>
  </si>
  <si>
    <t>332</t>
  </si>
  <si>
    <t>Installation of industrial machinery and equipment</t>
  </si>
  <si>
    <t>3320</t>
  </si>
  <si>
    <t>D</t>
  </si>
  <si>
    <t>Electricity, gas, steam and air conditioning supply</t>
  </si>
  <si>
    <t>35</t>
  </si>
  <si>
    <t>351</t>
  </si>
  <si>
    <t>Electric power generation, transmission and distribution activities</t>
  </si>
  <si>
    <t>3511</t>
  </si>
  <si>
    <t>Electric power generation activities from non-renewable sources</t>
  </si>
  <si>
    <t>3512</t>
  </si>
  <si>
    <t>Electric power generation activities from renewable sources</t>
  </si>
  <si>
    <t>3513</t>
  </si>
  <si>
    <t>Electric power transmission and distribution activities</t>
  </si>
  <si>
    <t>352</t>
  </si>
  <si>
    <t>Manufacture of gas; distribution of gaseous fuels through mains</t>
  </si>
  <si>
    <t>3520</t>
  </si>
  <si>
    <t>353</t>
  </si>
  <si>
    <t>Steam and air conditioning supply</t>
  </si>
  <si>
    <t>3530</t>
  </si>
  <si>
    <t>354</t>
  </si>
  <si>
    <t>Activities of brokers and agents for electric power and natural gas</t>
  </si>
  <si>
    <t>3540</t>
  </si>
  <si>
    <t>E</t>
  </si>
  <si>
    <t>Water supply; sewerage, waste management and remediation activities</t>
  </si>
  <si>
    <t>36</t>
  </si>
  <si>
    <t>Water collection, treatment and supply</t>
  </si>
  <si>
    <t>360</t>
  </si>
  <si>
    <t>3600</t>
  </si>
  <si>
    <t>37</t>
  </si>
  <si>
    <t>Sewerage</t>
  </si>
  <si>
    <t>370</t>
  </si>
  <si>
    <t>3700</t>
  </si>
  <si>
    <t>38</t>
  </si>
  <si>
    <t>Waste collection, treatment and disposal, and recovery activities</t>
  </si>
  <si>
    <t>381</t>
  </si>
  <si>
    <t>Waste collection activities</t>
  </si>
  <si>
    <t>3811</t>
  </si>
  <si>
    <t>Collection of non-hazardous waste</t>
  </si>
  <si>
    <t>3812</t>
  </si>
  <si>
    <t>Collection of hazardous waste</t>
  </si>
  <si>
    <t>382</t>
  </si>
  <si>
    <t>Waste treatment and disposal</t>
  </si>
  <si>
    <t>3821</t>
  </si>
  <si>
    <t>Treatment and disposal of non-hazardous waste</t>
  </si>
  <si>
    <t>3822</t>
  </si>
  <si>
    <t>Treatment and disposal of hazardous waste</t>
  </si>
  <si>
    <t>383</t>
  </si>
  <si>
    <t>Materials and other waste recovery</t>
  </si>
  <si>
    <t>3830</t>
  </si>
  <si>
    <t>39</t>
  </si>
  <si>
    <t>Remediation and other waste management service activities</t>
  </si>
  <si>
    <t>390</t>
  </si>
  <si>
    <t>3900</t>
  </si>
  <si>
    <t>F</t>
  </si>
  <si>
    <t>Construction</t>
  </si>
  <si>
    <t>41</t>
  </si>
  <si>
    <t>Construction of residential and non-residential buildings</t>
  </si>
  <si>
    <t>410</t>
  </si>
  <si>
    <t>4100</t>
  </si>
  <si>
    <t>42</t>
  </si>
  <si>
    <t>Civil engineering</t>
  </si>
  <si>
    <t>421</t>
  </si>
  <si>
    <t>Construction of roads and railways</t>
  </si>
  <si>
    <t>4210</t>
  </si>
  <si>
    <t>422</t>
  </si>
  <si>
    <t>Construction of utility projects</t>
  </si>
  <si>
    <t>4220</t>
  </si>
  <si>
    <t>429</t>
  </si>
  <si>
    <t>Construction of other civil engineering projects</t>
  </si>
  <si>
    <t>4290</t>
  </si>
  <si>
    <t>43</t>
  </si>
  <si>
    <t>Specialized construction activities</t>
  </si>
  <si>
    <t>431</t>
  </si>
  <si>
    <t>Demolition and site preparation</t>
  </si>
  <si>
    <t>4311</t>
  </si>
  <si>
    <t>Demolition</t>
  </si>
  <si>
    <t>4312</t>
  </si>
  <si>
    <t>Site preparation</t>
  </si>
  <si>
    <t>432</t>
  </si>
  <si>
    <t>Electrical, plumbing and other construction installation activities</t>
  </si>
  <si>
    <t>4321</t>
  </si>
  <si>
    <t>Electrical installation</t>
  </si>
  <si>
    <t>4322</t>
  </si>
  <si>
    <t>Plumbing, heat and air-conditioning installation</t>
  </si>
  <si>
    <t>4329</t>
  </si>
  <si>
    <t>Other construction installation</t>
  </si>
  <si>
    <t>433</t>
  </si>
  <si>
    <t>Building completion and finishing</t>
  </si>
  <si>
    <t>4330</t>
  </si>
  <si>
    <t>434</t>
  </si>
  <si>
    <t>Intermediation service activities for specialized construction services</t>
  </si>
  <si>
    <t>4340</t>
  </si>
  <si>
    <t>439</t>
  </si>
  <si>
    <t>Other specialized construction activities</t>
  </si>
  <si>
    <t>4390</t>
  </si>
  <si>
    <t>G</t>
  </si>
  <si>
    <t>Wholesale and retail trade</t>
  </si>
  <si>
    <t>46</t>
  </si>
  <si>
    <t>Wholesale trade</t>
  </si>
  <si>
    <t>461</t>
  </si>
  <si>
    <t>Wholesale on a fee or contract basis</t>
  </si>
  <si>
    <t>4610</t>
  </si>
  <si>
    <t>462</t>
  </si>
  <si>
    <t>Wholesale of agricultural raw materials and live animals</t>
  </si>
  <si>
    <t>4620</t>
  </si>
  <si>
    <t>463</t>
  </si>
  <si>
    <t>Wholesale of food, beverages and tobacco</t>
  </si>
  <si>
    <t>4630</t>
  </si>
  <si>
    <t>464</t>
  </si>
  <si>
    <t>Wholesale of household goods</t>
  </si>
  <si>
    <t>4641</t>
  </si>
  <si>
    <t>Wholesale of textiles, clothing and footwear</t>
  </si>
  <si>
    <t>4642</t>
  </si>
  <si>
    <t>Wholesale of household, office and shop furniture, carpets and lighting equipment</t>
  </si>
  <si>
    <t>4649</t>
  </si>
  <si>
    <t>Wholesale of other household goods</t>
  </si>
  <si>
    <t>465</t>
  </si>
  <si>
    <t>Wholesale of machinery, equipment and supplies</t>
  </si>
  <si>
    <t>4651</t>
  </si>
  <si>
    <t>Wholesale of computers, computer peripheral equipment and software</t>
  </si>
  <si>
    <t>4652</t>
  </si>
  <si>
    <t>Wholesale of electronic and telecommunications equipment and parts</t>
  </si>
  <si>
    <t>4653</t>
  </si>
  <si>
    <t>Wholesale of agricultural machinery, equipment and supplies</t>
  </si>
  <si>
    <t>4659</t>
  </si>
  <si>
    <t>Wholesale of other machinery and equipment</t>
  </si>
  <si>
    <t>466</t>
  </si>
  <si>
    <t>Wholesale of motor vehicles, motorcycles and related parts and accessories</t>
  </si>
  <si>
    <t>4661</t>
  </si>
  <si>
    <t>Wholesale of motor vehicles</t>
  </si>
  <si>
    <t>4662</t>
  </si>
  <si>
    <t>Wholesale of motor vehicle parts and accessories</t>
  </si>
  <si>
    <t>4663</t>
  </si>
  <si>
    <t>Wholesale of motorcycles, motorcycle parts and accessories</t>
  </si>
  <si>
    <t>467</t>
  </si>
  <si>
    <t>Other specialized wholesale</t>
  </si>
  <si>
    <t>4671</t>
  </si>
  <si>
    <t>Wholesale of solid, liquid and gaseous fuels and related products</t>
  </si>
  <si>
    <t>4672</t>
  </si>
  <si>
    <t>Wholesale of metals and metal ores</t>
  </si>
  <si>
    <t>4673</t>
  </si>
  <si>
    <t>Wholesale of construction materials, hardware, plumbing and heating equipment and supplies</t>
  </si>
  <si>
    <t>4679</t>
  </si>
  <si>
    <t>Wholesale of chemicals, waste and scrap and other products n.e.c.</t>
  </si>
  <si>
    <t>469</t>
  </si>
  <si>
    <t>Non-specialized wholesale trade</t>
  </si>
  <si>
    <t>4690</t>
  </si>
  <si>
    <t>47</t>
  </si>
  <si>
    <t>Retail trade</t>
  </si>
  <si>
    <t>471</t>
  </si>
  <si>
    <t>Non-specialized retail sale</t>
  </si>
  <si>
    <t>4711</t>
  </si>
  <si>
    <t>Non-specialized retail sale with food, beverages or tobacco predominating</t>
  </si>
  <si>
    <t>4719</t>
  </si>
  <si>
    <t>Other non-specialized retail sale</t>
  </si>
  <si>
    <t>472</t>
  </si>
  <si>
    <t>Retail sale of food, beverages and tobacco</t>
  </si>
  <si>
    <t>4721</t>
  </si>
  <si>
    <t>Retail sale of food</t>
  </si>
  <si>
    <t>4722</t>
  </si>
  <si>
    <t>Retail sale of beverages</t>
  </si>
  <si>
    <t>4723</t>
  </si>
  <si>
    <t>Retail sale of tobacco products</t>
  </si>
  <si>
    <t>473</t>
  </si>
  <si>
    <t>Retail sale of automotive fuel</t>
  </si>
  <si>
    <t>4730</t>
  </si>
  <si>
    <t>474</t>
  </si>
  <si>
    <t>Retail sale of information and communication equipment</t>
  </si>
  <si>
    <t>4740</t>
  </si>
  <si>
    <t>475</t>
  </si>
  <si>
    <t>Retail sale of other household equipment</t>
  </si>
  <si>
    <t>4751</t>
  </si>
  <si>
    <t>Retail sale of textiles</t>
  </si>
  <si>
    <t>4752</t>
  </si>
  <si>
    <t>Retail sale of hardware, building materials, paints and glass</t>
  </si>
  <si>
    <t>4753</t>
  </si>
  <si>
    <t>Retail sale of carpets, rugs, wall and floor coverings</t>
  </si>
  <si>
    <t>4759</t>
  </si>
  <si>
    <t>Retail sale of electrical household appliances, furniture, lighting equipment and other household articles</t>
  </si>
  <si>
    <t>476</t>
  </si>
  <si>
    <t>Retail sale of cultural and recreational goods</t>
  </si>
  <si>
    <t>4761</t>
  </si>
  <si>
    <t>Retail sale of books, newspapers, stationery and office supplies</t>
  </si>
  <si>
    <t>4762</t>
  </si>
  <si>
    <t>Retail sale of sporting equipment</t>
  </si>
  <si>
    <t>4763</t>
  </si>
  <si>
    <t>Retail sale of games and toys</t>
  </si>
  <si>
    <t>4769</t>
  </si>
  <si>
    <t>Retail sale of cultural and recreational goods n.e.c.</t>
  </si>
  <si>
    <t>477</t>
  </si>
  <si>
    <t>Retail sale of other goods, except motor vehicles and motorcycles</t>
  </si>
  <si>
    <t>4771</t>
  </si>
  <si>
    <t>Retail sale of clothing, footwear and leather articles</t>
  </si>
  <si>
    <t>4772</t>
  </si>
  <si>
    <t>Retail sale of pharmaceutical and medical goods, cosmetic and toilet articles</t>
  </si>
  <si>
    <t>4773</t>
  </si>
  <si>
    <t>Retail sale of other new goods n.e.c.</t>
  </si>
  <si>
    <t>4774</t>
  </si>
  <si>
    <t>Retail sale of second-hand goods</t>
  </si>
  <si>
    <t>478</t>
  </si>
  <si>
    <t>Retail sale of motor vehicles, motorcycles and related parts and accessories</t>
  </si>
  <si>
    <t>4781</t>
  </si>
  <si>
    <t>Retail sale of motor vehicles</t>
  </si>
  <si>
    <t>4782</t>
  </si>
  <si>
    <t>Retail sale of motor vehicle parts and accessories</t>
  </si>
  <si>
    <t>4783</t>
  </si>
  <si>
    <t>Retail sale of motorcycles, motorcycles parts and accessories</t>
  </si>
  <si>
    <t>479</t>
  </si>
  <si>
    <t>Intermediation service activities for retail sale</t>
  </si>
  <si>
    <t>4790</t>
  </si>
  <si>
    <t>H</t>
  </si>
  <si>
    <t>Transportation and storage</t>
  </si>
  <si>
    <t>49</t>
  </si>
  <si>
    <t>Land transport and transport via pipelines</t>
  </si>
  <si>
    <t>491</t>
  </si>
  <si>
    <t>Transport via railways</t>
  </si>
  <si>
    <t>4911</t>
  </si>
  <si>
    <t>Passenger rail transport, interurban</t>
  </si>
  <si>
    <t>4912</t>
  </si>
  <si>
    <t>Freight rail transport</t>
  </si>
  <si>
    <t>492</t>
  </si>
  <si>
    <t>Other land transport</t>
  </si>
  <si>
    <t>4921</t>
  </si>
  <si>
    <t>Urban and suburban passenger land transport</t>
  </si>
  <si>
    <t>4922</t>
  </si>
  <si>
    <t>Other passenger land transport</t>
  </si>
  <si>
    <t>4923</t>
  </si>
  <si>
    <t>Freight transport by road</t>
  </si>
  <si>
    <t>493</t>
  </si>
  <si>
    <t>Transport via pipeline</t>
  </si>
  <si>
    <t>4930</t>
  </si>
  <si>
    <t>50</t>
  </si>
  <si>
    <t>Water transport</t>
  </si>
  <si>
    <t>501</t>
  </si>
  <si>
    <t>Sea and coastal water transport</t>
  </si>
  <si>
    <t>5011</t>
  </si>
  <si>
    <t>Sea and coastal passenger water transport</t>
  </si>
  <si>
    <t>5012</t>
  </si>
  <si>
    <t>Sea and coastal freight water transport</t>
  </si>
  <si>
    <t>502</t>
  </si>
  <si>
    <t>Inland water transport</t>
  </si>
  <si>
    <t>5021</t>
  </si>
  <si>
    <t>Inland passenger water transport</t>
  </si>
  <si>
    <t>5022</t>
  </si>
  <si>
    <t>Inland freight water transport</t>
  </si>
  <si>
    <t>51</t>
  </si>
  <si>
    <t>Air transport</t>
  </si>
  <si>
    <t>511</t>
  </si>
  <si>
    <t>Passenger air transport</t>
  </si>
  <si>
    <t>5110</t>
  </si>
  <si>
    <t>512</t>
  </si>
  <si>
    <t>Freight air transport</t>
  </si>
  <si>
    <t>5120</t>
  </si>
  <si>
    <t>52</t>
  </si>
  <si>
    <t>Warehousing and support activities for transportation</t>
  </si>
  <si>
    <t>521</t>
  </si>
  <si>
    <t>Warehousing and storage</t>
  </si>
  <si>
    <t>5210</t>
  </si>
  <si>
    <t>522</t>
  </si>
  <si>
    <t>Support activities for transportation</t>
  </si>
  <si>
    <t>5221</t>
  </si>
  <si>
    <t>Service activities incidental to land transportation</t>
  </si>
  <si>
    <t>5222</t>
  </si>
  <si>
    <t>Service activities incidental to water transportation</t>
  </si>
  <si>
    <t>5223</t>
  </si>
  <si>
    <t>Service activities incidental to air transportation</t>
  </si>
  <si>
    <t>5224</t>
  </si>
  <si>
    <t>Cargo handling</t>
  </si>
  <si>
    <t>5229</t>
  </si>
  <si>
    <t xml:space="preserve">Other support activities for transportation </t>
  </si>
  <si>
    <t>523</t>
  </si>
  <si>
    <t>Intermediation service activities for transportation</t>
  </si>
  <si>
    <t>5231</t>
  </si>
  <si>
    <t>Intermediation service activities for freight transportation</t>
  </si>
  <si>
    <t>5232</t>
  </si>
  <si>
    <t>Intermediation service activities for passenger transportation</t>
  </si>
  <si>
    <t>53</t>
  </si>
  <si>
    <t>Postal and courier activities</t>
  </si>
  <si>
    <t>531</t>
  </si>
  <si>
    <t>Postal activities</t>
  </si>
  <si>
    <t>5310</t>
  </si>
  <si>
    <t>532</t>
  </si>
  <si>
    <t>Courier activities</t>
  </si>
  <si>
    <t>5320</t>
  </si>
  <si>
    <t>533</t>
  </si>
  <si>
    <t>Intermediation service activities for postal and courier activities</t>
  </si>
  <si>
    <t>5330</t>
  </si>
  <si>
    <t>I</t>
  </si>
  <si>
    <t>Accommodation and food service activities</t>
  </si>
  <si>
    <t>55</t>
  </si>
  <si>
    <t>Accommodation</t>
  </si>
  <si>
    <t>551</t>
  </si>
  <si>
    <t>Hotels and similar accommodation activities</t>
  </si>
  <si>
    <t>5510</t>
  </si>
  <si>
    <t>552</t>
  </si>
  <si>
    <t>Other short term accommodation activities</t>
  </si>
  <si>
    <t>5520</t>
  </si>
  <si>
    <t>553</t>
  </si>
  <si>
    <t>Camping grounds, recreational vehicle parks and trailer parks</t>
  </si>
  <si>
    <t>5530</t>
  </si>
  <si>
    <t>554</t>
  </si>
  <si>
    <t>Intermediation service activities for accommodation</t>
  </si>
  <si>
    <t>5540</t>
  </si>
  <si>
    <t>559</t>
  </si>
  <si>
    <t>Other accommodation n.e.c.</t>
  </si>
  <si>
    <t>5590</t>
  </si>
  <si>
    <t>56</t>
  </si>
  <si>
    <t>Food and beverage service activities</t>
  </si>
  <si>
    <t>561</t>
  </si>
  <si>
    <t>Restaurants and mobile food service activities</t>
  </si>
  <si>
    <t>5610</t>
  </si>
  <si>
    <t>562</t>
  </si>
  <si>
    <t>Event catering and other food service activities</t>
  </si>
  <si>
    <t>5621</t>
  </si>
  <si>
    <t>Event catering activities</t>
  </si>
  <si>
    <t>5629</t>
  </si>
  <si>
    <t>Other food service activities</t>
  </si>
  <si>
    <t>563</t>
  </si>
  <si>
    <t>Beverage serving activities</t>
  </si>
  <si>
    <t>5630</t>
  </si>
  <si>
    <t>564</t>
  </si>
  <si>
    <t>Intermediation service activities for food and beverage services activities</t>
  </si>
  <si>
    <t>5640</t>
  </si>
  <si>
    <t>J</t>
  </si>
  <si>
    <t>Publishing, broadcasting, and content production and distribution activities</t>
  </si>
  <si>
    <t>58</t>
  </si>
  <si>
    <t>Publishing activities</t>
  </si>
  <si>
    <t>581</t>
  </si>
  <si>
    <t>Publishing of books, newspapers, periodicals and other publishing activities</t>
  </si>
  <si>
    <t>5811</t>
  </si>
  <si>
    <t>Publishing of books</t>
  </si>
  <si>
    <t>5812</t>
  </si>
  <si>
    <t>Publishing of newspapers</t>
  </si>
  <si>
    <t>5813</t>
  </si>
  <si>
    <t>Publishing of journals and periodicals</t>
  </si>
  <si>
    <t>5819</t>
  </si>
  <si>
    <t>Other publishing activities</t>
  </si>
  <si>
    <t>582</t>
  </si>
  <si>
    <t>Software publishing</t>
  </si>
  <si>
    <t>5821</t>
  </si>
  <si>
    <t>Publishing of video games</t>
  </si>
  <si>
    <t>5829</t>
  </si>
  <si>
    <t>Other software publishing</t>
  </si>
  <si>
    <t>59</t>
  </si>
  <si>
    <t>Motion picture, video and television programme production, sound recording and music publishing activities</t>
  </si>
  <si>
    <t>591</t>
  </si>
  <si>
    <t>Motion picture, video and television programme activities</t>
  </si>
  <si>
    <t>5911</t>
  </si>
  <si>
    <t>Motion picture, video and television programme production activities</t>
  </si>
  <si>
    <t>5912</t>
  </si>
  <si>
    <t>Motion picture, video and television programme post-production activities</t>
  </si>
  <si>
    <t>5913</t>
  </si>
  <si>
    <t>Motion picture, video and television programme distribution activities</t>
  </si>
  <si>
    <t>5914</t>
  </si>
  <si>
    <t>Motion picture projection activities</t>
  </si>
  <si>
    <t>592</t>
  </si>
  <si>
    <t>Sound recording and music publishing activities</t>
  </si>
  <si>
    <t>5920</t>
  </si>
  <si>
    <t>60</t>
  </si>
  <si>
    <t>Programming, broadcasting, news agency and other content distribution activities</t>
  </si>
  <si>
    <t>601</t>
  </si>
  <si>
    <t>Radio broadcasting and audio distribution activities</t>
  </si>
  <si>
    <t>6010</t>
  </si>
  <si>
    <t>602</t>
  </si>
  <si>
    <t>Television programming, broadcasting and video distribution activities</t>
  </si>
  <si>
    <t>6020</t>
  </si>
  <si>
    <t>603</t>
  </si>
  <si>
    <t>News agency and other content distribution activities</t>
  </si>
  <si>
    <t>6031</t>
  </si>
  <si>
    <t>News agency activities</t>
  </si>
  <si>
    <t>6039</t>
  </si>
  <si>
    <t>Social network sites and other content distribution activities</t>
  </si>
  <si>
    <t>K</t>
  </si>
  <si>
    <t>Telecommunications, computer programming, consultancy, computing infrastructure, and other information service activities</t>
  </si>
  <si>
    <t>61</t>
  </si>
  <si>
    <t>Telecommunications</t>
  </si>
  <si>
    <t>611</t>
  </si>
  <si>
    <t>Wired, wireless, and satellite telecommunication activities</t>
  </si>
  <si>
    <t>6110</t>
  </si>
  <si>
    <t>612</t>
  </si>
  <si>
    <t>Telecommunication reselling�activities�and intermediation service�activities�for telecommunication</t>
  </si>
  <si>
    <t>6120</t>
  </si>
  <si>
    <t>619</t>
  </si>
  <si>
    <t>Other telecommunication activities</t>
  </si>
  <si>
    <t>6190</t>
  </si>
  <si>
    <t>62</t>
  </si>
  <si>
    <t>Computer programming, consultancy and related activities</t>
  </si>
  <si>
    <t>621</t>
  </si>
  <si>
    <t>Computer programming activities</t>
  </si>
  <si>
    <t>6211</t>
  </si>
  <si>
    <t>Development of video games, video game software, and video game software tools</t>
  </si>
  <si>
    <t>6219</t>
  </si>
  <si>
    <t>Other computer programming activities</t>
  </si>
  <si>
    <t>622</t>
  </si>
  <si>
    <t>Computer consultancy and computer facilities management activities</t>
  </si>
  <si>
    <t>6220</t>
  </si>
  <si>
    <t>629</t>
  </si>
  <si>
    <t>Other information technology and computer service activities</t>
  </si>
  <si>
    <t>6290</t>
  </si>
  <si>
    <t>63</t>
  </si>
  <si>
    <t>Computing infrastructure, data processing, hosting, and other information service activities</t>
  </si>
  <si>
    <t>631</t>
  </si>
  <si>
    <t>Computing infrastructure, data processing, hosting and related activities</t>
  </si>
  <si>
    <t>6310</t>
  </si>
  <si>
    <t>639</t>
  </si>
  <si>
    <t>Web search portals activities and other information service activities</t>
  </si>
  <si>
    <t>6390</t>
  </si>
  <si>
    <t>L</t>
  </si>
  <si>
    <t>Financial and insurance activities</t>
  </si>
  <si>
    <t>64</t>
  </si>
  <si>
    <t>Financial service activities, except insurance and pension funding</t>
  </si>
  <si>
    <t>641</t>
  </si>
  <si>
    <t>Monetary intermediation</t>
  </si>
  <si>
    <t>6411</t>
  </si>
  <si>
    <t>Central banking</t>
  </si>
  <si>
    <t>6419</t>
  </si>
  <si>
    <t>Other monetary intermediation</t>
  </si>
  <si>
    <t>642</t>
  </si>
  <si>
    <t>Activities of holding companies and financing conduits</t>
  </si>
  <si>
    <t>6421</t>
  </si>
  <si>
    <t>Activities of holding companies</t>
  </si>
  <si>
    <t>6422</t>
  </si>
  <si>
    <t>Activities of financing conduits</t>
  </si>
  <si>
    <t>643</t>
  </si>
  <si>
    <t>Activities of trusts, funds and similar financial entities</t>
  </si>
  <si>
    <t>6431</t>
  </si>
  <si>
    <t>Activities of money market funds</t>
  </si>
  <si>
    <t>6432</t>
  </si>
  <si>
    <t>Activities of non-money market investments funds</t>
  </si>
  <si>
    <t>6433</t>
  </si>
  <si>
    <t>Activities of trust, estate and agency accounts</t>
  </si>
  <si>
    <t>649</t>
  </si>
  <si>
    <t>Other financial service activities, except insurance and pension funding activities</t>
  </si>
  <si>
    <t>6491</t>
  </si>
  <si>
    <t>Financial leasing activities</t>
  </si>
  <si>
    <t>6492</t>
  </si>
  <si>
    <t>International trade financing activities</t>
  </si>
  <si>
    <t>6493</t>
  </si>
  <si>
    <t>Factoring activities</t>
  </si>
  <si>
    <t>6494</t>
  </si>
  <si>
    <t>Securitisation activities</t>
  </si>
  <si>
    <t>6495</t>
  </si>
  <si>
    <t>Other credit granting activities</t>
  </si>
  <si>
    <t>6499</t>
  </si>
  <si>
    <t>Other financial service activities n.e.c., except insurance and pension funding activities</t>
  </si>
  <si>
    <t>65</t>
  </si>
  <si>
    <t>Insurance, reinsurance and pension funding, except compulsory social security</t>
  </si>
  <si>
    <t>651</t>
  </si>
  <si>
    <t>Insurance</t>
  </si>
  <si>
    <t>6511</t>
  </si>
  <si>
    <t>Life insurance</t>
  </si>
  <si>
    <t>6512</t>
  </si>
  <si>
    <t>Non-life insurance</t>
  </si>
  <si>
    <t>652</t>
  </si>
  <si>
    <t>Reinsurance</t>
  </si>
  <si>
    <t>6520</t>
  </si>
  <si>
    <t>653</t>
  </si>
  <si>
    <t>Pension funding</t>
  </si>
  <si>
    <t>6530</t>
  </si>
  <si>
    <t>66</t>
  </si>
  <si>
    <t>Activities auxiliary to financial service and insurance activities</t>
  </si>
  <si>
    <t>661</t>
  </si>
  <si>
    <t>Activities auxiliary to financial services, except insurance and pension funding</t>
  </si>
  <si>
    <t>6611</t>
  </si>
  <si>
    <t>Administration of financial markets</t>
  </si>
  <si>
    <t>6612</t>
  </si>
  <si>
    <t>Security and commodity contracts brokerage</t>
  </si>
  <si>
    <t>6619</t>
  </si>
  <si>
    <t xml:space="preserve">Other activities auxiliary to financial service activities, except insurance and pension funding </t>
  </si>
  <si>
    <t>662</t>
  </si>
  <si>
    <t>Activities auxiliary to insurance and pension funding</t>
  </si>
  <si>
    <t>6621</t>
  </si>
  <si>
    <t>Risk and damage evaluation</t>
  </si>
  <si>
    <t>6622</t>
  </si>
  <si>
    <t>Activities of insurance agents and brokers</t>
  </si>
  <si>
    <t>6629</t>
  </si>
  <si>
    <t>Other activities auxiliary to insurance and pension funding</t>
  </si>
  <si>
    <t>663</t>
  </si>
  <si>
    <t>Fund management activities</t>
  </si>
  <si>
    <t>6630</t>
  </si>
  <si>
    <t>M</t>
  </si>
  <si>
    <t>Real estate activities</t>
  </si>
  <si>
    <t>68</t>
  </si>
  <si>
    <t>681</t>
  </si>
  <si>
    <t>Real estate activities with own or leased property</t>
  </si>
  <si>
    <t>6810</t>
  </si>
  <si>
    <t>682</t>
  </si>
  <si>
    <t>Real estate activities on a fee or contract basis</t>
  </si>
  <si>
    <t>6821</t>
  </si>
  <si>
    <t>Intermediation service activities for real estate</t>
  </si>
  <si>
    <t>6829</t>
  </si>
  <si>
    <t>Other real estate activities on a fee or contract basis</t>
  </si>
  <si>
    <t>N</t>
  </si>
  <si>
    <t>Professional, scientific and technical activities</t>
  </si>
  <si>
    <t>69</t>
  </si>
  <si>
    <t>Legal and accounting activities</t>
  </si>
  <si>
    <t>691</t>
  </si>
  <si>
    <t>Legal activities</t>
  </si>
  <si>
    <t>6910</t>
  </si>
  <si>
    <t>692</t>
  </si>
  <si>
    <t>Accounting, bookkeeping and auditing activities; tax consultancy</t>
  </si>
  <si>
    <t>6920</t>
  </si>
  <si>
    <t>70</t>
  </si>
  <si>
    <t>Activities of head offices; management consultancy activities</t>
  </si>
  <si>
    <t>701</t>
  </si>
  <si>
    <t>Activities of head offices</t>
  </si>
  <si>
    <t>7010</t>
  </si>
  <si>
    <t>702</t>
  </si>
  <si>
    <t>Business and other management consultancy activities</t>
  </si>
  <si>
    <t>7020</t>
  </si>
  <si>
    <t>71</t>
  </si>
  <si>
    <t>Architectural and engineering activities; technical testing and analysis</t>
  </si>
  <si>
    <t>711</t>
  </si>
  <si>
    <t>Architectural and engineering, and related technical consultancy activities</t>
  </si>
  <si>
    <t>7110</t>
  </si>
  <si>
    <t>712</t>
  </si>
  <si>
    <t>Technical testing and analysis</t>
  </si>
  <si>
    <t>7120</t>
  </si>
  <si>
    <t>72</t>
  </si>
  <si>
    <t xml:space="preserve">Scientific research and development </t>
  </si>
  <si>
    <t>721</t>
  </si>
  <si>
    <t>Research and experimental development on natural sciences and engineering</t>
  </si>
  <si>
    <t>7210</t>
  </si>
  <si>
    <t>722</t>
  </si>
  <si>
    <t>Research and experimental development on social sciences and humanities</t>
  </si>
  <si>
    <t>7220</t>
  </si>
  <si>
    <t>73</t>
  </si>
  <si>
    <t>Activities of advertising, market research and public relations</t>
  </si>
  <si>
    <t>731</t>
  </si>
  <si>
    <t xml:space="preserve">Advertising activities </t>
  </si>
  <si>
    <t>7310</t>
  </si>
  <si>
    <t>732</t>
  </si>
  <si>
    <t xml:space="preserve">Market research and public opinion polling activities </t>
  </si>
  <si>
    <t>7320</t>
  </si>
  <si>
    <t>733</t>
  </si>
  <si>
    <t>Public relations activities</t>
  </si>
  <si>
    <t>7330</t>
  </si>
  <si>
    <t>74</t>
  </si>
  <si>
    <t>Other professional, scientific and technical activities</t>
  </si>
  <si>
    <t>741</t>
  </si>
  <si>
    <t xml:space="preserve">Specialized design activities </t>
  </si>
  <si>
    <t>7410</t>
  </si>
  <si>
    <t>742</t>
  </si>
  <si>
    <t xml:space="preserve">Photographic activities </t>
  </si>
  <si>
    <t>7420</t>
  </si>
  <si>
    <t>743</t>
  </si>
  <si>
    <t xml:space="preserve">Translation and interpretation activities </t>
  </si>
  <si>
    <t>7430</t>
  </si>
  <si>
    <t>749</t>
  </si>
  <si>
    <t>Other professional, scientific and technical activities n.e.c.</t>
  </si>
  <si>
    <t>7491</t>
  </si>
  <si>
    <t>Patent brokering and marketing service activities</t>
  </si>
  <si>
    <t>7499</t>
  </si>
  <si>
    <t xml:space="preserve">All other professional, scientific and technical activities n.e.c. </t>
  </si>
  <si>
    <t>75</t>
  </si>
  <si>
    <t xml:space="preserve">Veterinary activities </t>
  </si>
  <si>
    <t>750</t>
  </si>
  <si>
    <t>7500</t>
  </si>
  <si>
    <t>O</t>
  </si>
  <si>
    <t>Administrative and support service activities</t>
  </si>
  <si>
    <t>77</t>
  </si>
  <si>
    <t>Rental and leasing activities</t>
  </si>
  <si>
    <t>771</t>
  </si>
  <si>
    <t>Rental and leasing of motor vehicles</t>
  </si>
  <si>
    <t>7710</t>
  </si>
  <si>
    <t>772</t>
  </si>
  <si>
    <t>Rental and leasing of personal and household goods</t>
  </si>
  <si>
    <t>7721</t>
  </si>
  <si>
    <t>Rental and leasing of recreational and sports goods</t>
  </si>
  <si>
    <t>7729</t>
  </si>
  <si>
    <t>Rental and leasing of other personal and household goods</t>
  </si>
  <si>
    <t>773</t>
  </si>
  <si>
    <t>Rental and leasing of other machinery, equipment and tangible goods</t>
  </si>
  <si>
    <t>7730</t>
  </si>
  <si>
    <t>774</t>
  </si>
  <si>
    <t>Leasing of intellectual property and similar products, except copyrighted works</t>
  </si>
  <si>
    <t>7740</t>
  </si>
  <si>
    <t>775</t>
  </si>
  <si>
    <t>Intermediation service activities for rental and leasing of tangible goods and non-financial intangible assets</t>
  </si>
  <si>
    <t>7751</t>
  </si>
  <si>
    <t>Intermediation service activities for rental and leasing of cars, motorhomes and trailers</t>
  </si>
  <si>
    <t>7752</t>
  </si>
  <si>
    <t>Intermediation service activities for rental and leasing of other tangible goods and non-financial intangible assets</t>
  </si>
  <si>
    <t>78</t>
  </si>
  <si>
    <t>Employment activities</t>
  </si>
  <si>
    <t>781</t>
  </si>
  <si>
    <t>Activities of employment placement agencies</t>
  </si>
  <si>
    <t>7810</t>
  </si>
  <si>
    <t>782</t>
  </si>
  <si>
    <t>Temporary employment agency activities and other human resource provisions</t>
  </si>
  <si>
    <t>7820</t>
  </si>
  <si>
    <t>79</t>
  </si>
  <si>
    <t>Travel agency, tour operator, and other travel related activities</t>
  </si>
  <si>
    <t>791</t>
  </si>
  <si>
    <t>Travel agency and tour operator activities</t>
  </si>
  <si>
    <t>7911</t>
  </si>
  <si>
    <t>Travel agency activities</t>
  </si>
  <si>
    <t>7912</t>
  </si>
  <si>
    <t>Tour operator activities</t>
  </si>
  <si>
    <t>799</t>
  </si>
  <si>
    <t>Other travel related activities</t>
  </si>
  <si>
    <t>7990</t>
  </si>
  <si>
    <t>80</t>
  </si>
  <si>
    <t>Investigation and security activities</t>
  </si>
  <si>
    <t>801</t>
  </si>
  <si>
    <t>8011</t>
  </si>
  <si>
    <t>Investigation and private security activities</t>
  </si>
  <si>
    <t>8019</t>
  </si>
  <si>
    <t>Security activities n.e.c.</t>
  </si>
  <si>
    <t>81</t>
  </si>
  <si>
    <t>Services to buildings and landscape activities</t>
  </si>
  <si>
    <t>811</t>
  </si>
  <si>
    <t>Combined facilities support activities</t>
  </si>
  <si>
    <t>8110</t>
  </si>
  <si>
    <t>812</t>
  </si>
  <si>
    <t>Cleaning activities</t>
  </si>
  <si>
    <t>8121</t>
  </si>
  <si>
    <t>General cleaning of buildings</t>
  </si>
  <si>
    <t>8129</t>
  </si>
  <si>
    <t>Other cleaning activities</t>
  </si>
  <si>
    <t>813</t>
  </si>
  <si>
    <t>Landscape service activities</t>
  </si>
  <si>
    <t>8130</t>
  </si>
  <si>
    <t>82</t>
  </si>
  <si>
    <t>Office administrative, office support and other business support activities</t>
  </si>
  <si>
    <t>821</t>
  </si>
  <si>
    <t>Office administrative and support activities</t>
  </si>
  <si>
    <t>8210</t>
  </si>
  <si>
    <t>822</t>
  </si>
  <si>
    <t>Activities of call centres</t>
  </si>
  <si>
    <t>8220</t>
  </si>
  <si>
    <t>823</t>
  </si>
  <si>
    <t>Organization of conventions and trade shows</t>
  </si>
  <si>
    <t>8230</t>
  </si>
  <si>
    <t>824</t>
  </si>
  <si>
    <t>Intermediation service activities for business support activities n.e.c., except financial intermediation</t>
  </si>
  <si>
    <t>8240</t>
  </si>
  <si>
    <t>829</t>
  </si>
  <si>
    <t>Business support service activities n.e.c.</t>
  </si>
  <si>
    <t>8291</t>
  </si>
  <si>
    <t>Activities of collection agencies and credit bureaus</t>
  </si>
  <si>
    <t>8292</t>
  </si>
  <si>
    <t>Packaging activities</t>
  </si>
  <si>
    <t>8299</t>
  </si>
  <si>
    <t>Other business support service activities n.e.c.</t>
  </si>
  <si>
    <t>P</t>
  </si>
  <si>
    <t>Public administration and defence; compulsory social security</t>
  </si>
  <si>
    <t>84</t>
  </si>
  <si>
    <t>841</t>
  </si>
  <si>
    <t>Administration of the State and the economic, social and environmental policies of the community</t>
  </si>
  <si>
    <t>8411</t>
  </si>
  <si>
    <t>General public administration activities</t>
  </si>
  <si>
    <t>8412</t>
  </si>
  <si>
    <t>Regulation of the activities of providing health care, education, cultural services and other social services, excluding social security and environment</t>
  </si>
  <si>
    <t>8413</t>
  </si>
  <si>
    <t>Regulation of the activities of providing environmental services</t>
  </si>
  <si>
    <t>8414</t>
  </si>
  <si>
    <t>Regulation of and contribution to more efficient operation of businesses</t>
  </si>
  <si>
    <t>842</t>
  </si>
  <si>
    <t>Provision of services to the community as a whole</t>
  </si>
  <si>
    <t>8421</t>
  </si>
  <si>
    <t>Foreign affairs</t>
  </si>
  <si>
    <t>8422</t>
  </si>
  <si>
    <t>Defence activities</t>
  </si>
  <si>
    <t>8423</t>
  </si>
  <si>
    <t>Public order and safety activities</t>
  </si>
  <si>
    <t>843</t>
  </si>
  <si>
    <t>Compulsory social security activities</t>
  </si>
  <si>
    <t>8430</t>
  </si>
  <si>
    <t>Q</t>
  </si>
  <si>
    <t>Education</t>
  </si>
  <si>
    <t>85</t>
  </si>
  <si>
    <t>851</t>
  </si>
  <si>
    <t xml:space="preserve">Pre-primary education </t>
  </si>
  <si>
    <t>8510</t>
  </si>
  <si>
    <t>852</t>
  </si>
  <si>
    <t xml:space="preserve">Primary education </t>
  </si>
  <si>
    <t>8520</t>
  </si>
  <si>
    <t>853</t>
  </si>
  <si>
    <t>Secondary and post-secondary non-tertiary education</t>
  </si>
  <si>
    <t>8531</t>
  </si>
  <si>
    <t xml:space="preserve">General secondary education </t>
  </si>
  <si>
    <t>8532</t>
  </si>
  <si>
    <t>Vocational secondary education</t>
  </si>
  <si>
    <t>8533</t>
  </si>
  <si>
    <t xml:space="preserve">Post-secondary non-tertiary education </t>
  </si>
  <si>
    <t>854</t>
  </si>
  <si>
    <t>Tertiary education</t>
  </si>
  <si>
    <t>8540</t>
  </si>
  <si>
    <t>855</t>
  </si>
  <si>
    <t>Other education</t>
  </si>
  <si>
    <t>8551</t>
  </si>
  <si>
    <t xml:space="preserve"> Sports and recreation education </t>
  </si>
  <si>
    <t>8552</t>
  </si>
  <si>
    <t xml:space="preserve"> Cultural education</t>
  </si>
  <si>
    <t>8553</t>
  </si>
  <si>
    <t>Driving school activities</t>
  </si>
  <si>
    <t>8559</t>
  </si>
  <si>
    <t>Other education n.e.c.</t>
  </si>
  <si>
    <t>856</t>
  </si>
  <si>
    <t>Educational support activities</t>
  </si>
  <si>
    <t>8561</t>
  </si>
  <si>
    <t>Intermediation service activities for courses and tutors</t>
  </si>
  <si>
    <t>8569</t>
  </si>
  <si>
    <t>Other educational support activities</t>
  </si>
  <si>
    <t>R</t>
  </si>
  <si>
    <t>Human health and social work activities</t>
  </si>
  <si>
    <t>86</t>
  </si>
  <si>
    <t>Human health activities</t>
  </si>
  <si>
    <t>861</t>
  </si>
  <si>
    <t>Hospital activities</t>
  </si>
  <si>
    <t>8610</t>
  </si>
  <si>
    <t>862</t>
  </si>
  <si>
    <t xml:space="preserve">Medical and dental practice activities </t>
  </si>
  <si>
    <t>8620</t>
  </si>
  <si>
    <t>869</t>
  </si>
  <si>
    <t xml:space="preserve">Other human health activities </t>
  </si>
  <si>
    <t>8691</t>
  </si>
  <si>
    <t>Intermediation service activities for medical, dental, and other human health services</t>
  </si>
  <si>
    <t>8699</t>
  </si>
  <si>
    <t>Other human health activities n.e.c</t>
  </si>
  <si>
    <t>87</t>
  </si>
  <si>
    <t>Residential care activities</t>
  </si>
  <si>
    <t>871</t>
  </si>
  <si>
    <t xml:space="preserve">Residential nursing care activities </t>
  </si>
  <si>
    <t>8710</t>
  </si>
  <si>
    <t>872</t>
  </si>
  <si>
    <t>Residential care activities for persons living with or having a diagnosis of a mental illness or substance abuse</t>
  </si>
  <si>
    <t>8720</t>
  </si>
  <si>
    <t>873</t>
  </si>
  <si>
    <t>Residential care activities for older persons or persons with physical disabilities</t>
  </si>
  <si>
    <t>8730</t>
  </si>
  <si>
    <t>879</t>
  </si>
  <si>
    <t>Other residential care activities</t>
  </si>
  <si>
    <t>8791</t>
  </si>
  <si>
    <t>Intermediation service activities for residential care activities</t>
  </si>
  <si>
    <t>8799</t>
  </si>
  <si>
    <t>Other residential care activities n.e.c.</t>
  </si>
  <si>
    <t>88</t>
  </si>
  <si>
    <t xml:space="preserve">Social work activities without accommodation </t>
  </si>
  <si>
    <t>881</t>
  </si>
  <si>
    <t>Social work activities without accommodation for older persons or persons with disabilities</t>
  </si>
  <si>
    <t>8810</t>
  </si>
  <si>
    <t>889</t>
  </si>
  <si>
    <t>Other social work activities without accommodation</t>
  </si>
  <si>
    <t>8890</t>
  </si>
  <si>
    <t>S</t>
  </si>
  <si>
    <t>Arts, sports and recreation</t>
  </si>
  <si>
    <t>90</t>
  </si>
  <si>
    <t>Arts creation and performing arts activities</t>
  </si>
  <si>
    <t>901</t>
  </si>
  <si>
    <t>Arts creation activities</t>
  </si>
  <si>
    <t>9011</t>
  </si>
  <si>
    <t>Literary creation and musical composition activities</t>
  </si>
  <si>
    <t>9012</t>
  </si>
  <si>
    <t xml:space="preserve">Visual arts creation activities </t>
  </si>
  <si>
    <t>9013</t>
  </si>
  <si>
    <t xml:space="preserve">Other arts creation activities </t>
  </si>
  <si>
    <t>902</t>
  </si>
  <si>
    <t xml:space="preserve">Activities of performing arts </t>
  </si>
  <si>
    <t>9020</t>
  </si>
  <si>
    <t>903</t>
  </si>
  <si>
    <t>Support activities to arts creation and performing arts</t>
  </si>
  <si>
    <t>9031</t>
  </si>
  <si>
    <t xml:space="preserve">Operation of arts facilities and sites </t>
  </si>
  <si>
    <t>9039</t>
  </si>
  <si>
    <t>Other support activities to arts creation and performing arts</t>
  </si>
  <si>
    <t>91</t>
  </si>
  <si>
    <t xml:space="preserve">Library, archives, museum and other cultural activities </t>
  </si>
  <si>
    <t>911</t>
  </si>
  <si>
    <t>Library and archive activities</t>
  </si>
  <si>
    <t>9111</t>
  </si>
  <si>
    <t>Library activities</t>
  </si>
  <si>
    <t>9112</t>
  </si>
  <si>
    <t>Archive activities</t>
  </si>
  <si>
    <t>912</t>
  </si>
  <si>
    <t>Museum, collection, historical site and monument activities</t>
  </si>
  <si>
    <t>9121</t>
  </si>
  <si>
    <t xml:space="preserve">Museum and collection activities </t>
  </si>
  <si>
    <t>9122</t>
  </si>
  <si>
    <t>Historical site and monument activities</t>
  </si>
  <si>
    <t>913</t>
  </si>
  <si>
    <t xml:space="preserve">Conservation, restoration and other support activities for cultural heritage </t>
  </si>
  <si>
    <t>9130</t>
  </si>
  <si>
    <t>914</t>
  </si>
  <si>
    <t>Botanical and zoological garden and nature reserve activities</t>
  </si>
  <si>
    <t>9141</t>
  </si>
  <si>
    <t xml:space="preserve">Botanical and zoological garden activities </t>
  </si>
  <si>
    <t>9142</t>
  </si>
  <si>
    <t>Nature reserve activities</t>
  </si>
  <si>
    <t>92</t>
  </si>
  <si>
    <t>Gambling and betting activities</t>
  </si>
  <si>
    <t>920</t>
  </si>
  <si>
    <t>9200</t>
  </si>
  <si>
    <t>93</t>
  </si>
  <si>
    <t>Sports activities and amusement and recreation activities</t>
  </si>
  <si>
    <t>931</t>
  </si>
  <si>
    <t xml:space="preserve">Sports activities </t>
  </si>
  <si>
    <t>9311</t>
  </si>
  <si>
    <t>Operation of sports facilities</t>
  </si>
  <si>
    <t>9312</t>
  </si>
  <si>
    <t xml:space="preserve">Activities of sports clubs </t>
  </si>
  <si>
    <t>9319</t>
  </si>
  <si>
    <t xml:space="preserve">Other sports activities </t>
  </si>
  <si>
    <t>932</t>
  </si>
  <si>
    <t xml:space="preserve">Amusement and recreation activities </t>
  </si>
  <si>
    <t>9321</t>
  </si>
  <si>
    <t>Activities of amusement parks and theme parks</t>
  </si>
  <si>
    <t>9329</t>
  </si>
  <si>
    <t>Other amusement and recreation activities</t>
  </si>
  <si>
    <t>T</t>
  </si>
  <si>
    <t>Other service activities</t>
  </si>
  <si>
    <t>94</t>
  </si>
  <si>
    <t>Activities of membership organizations</t>
  </si>
  <si>
    <t>941</t>
  </si>
  <si>
    <t>Activities of business, employers and professional membership organizations</t>
  </si>
  <si>
    <t>9411</t>
  </si>
  <si>
    <t>Activities of business and employers membership organizations</t>
  </si>
  <si>
    <t>9412</t>
  </si>
  <si>
    <t>Activities of professional membership organizations</t>
  </si>
  <si>
    <t>942</t>
  </si>
  <si>
    <t>Activities of trade unions</t>
  </si>
  <si>
    <t>9420</t>
  </si>
  <si>
    <t>949</t>
  </si>
  <si>
    <t>Activities of other membership organizations</t>
  </si>
  <si>
    <t>9491</t>
  </si>
  <si>
    <t>Activities of religious organizations</t>
  </si>
  <si>
    <t>9492</t>
  </si>
  <si>
    <t>Activities of political organizations</t>
  </si>
  <si>
    <t>9499</t>
  </si>
  <si>
    <t>Activities of other membership organizations n.e.c.</t>
  </si>
  <si>
    <t>95</t>
  </si>
  <si>
    <t>Repair and maintenance of computers, personal and household goods, and motor vehicles and motorcycles</t>
  </si>
  <si>
    <t>951</t>
  </si>
  <si>
    <t>Repair and maintenance of computers and communication equipment</t>
  </si>
  <si>
    <t>9510</t>
  </si>
  <si>
    <t>952</t>
  </si>
  <si>
    <t>Repair and maintenance of personal and household goods</t>
  </si>
  <si>
    <t>9521</t>
  </si>
  <si>
    <t>Repair and maintenance of consumer electronics</t>
  </si>
  <si>
    <t>9522</t>
  </si>
  <si>
    <t>Repair and maintenance of household appliances and home and garden equipment</t>
  </si>
  <si>
    <t>9523</t>
  </si>
  <si>
    <t>Repair and maintenance of footwear and leather goods</t>
  </si>
  <si>
    <t>9524</t>
  </si>
  <si>
    <t>Repair and maintenance of furniture and home furnishings</t>
  </si>
  <si>
    <t>9529</t>
  </si>
  <si>
    <t>Repair and maintenance of other personal and household goods</t>
  </si>
  <si>
    <t>953</t>
  </si>
  <si>
    <t>Repair and maintenance of motor vehicles and motorcycles</t>
  </si>
  <si>
    <t>9531</t>
  </si>
  <si>
    <t>Repair and maintenance of motor vehicles</t>
  </si>
  <si>
    <t>9532</t>
  </si>
  <si>
    <t>Repair and maintenance of motorcycles</t>
  </si>
  <si>
    <t>954</t>
  </si>
  <si>
    <t>Intermediation service activities for repair and maintenance of computers, personal and household goods, and motor vehicles and motorcycles</t>
  </si>
  <si>
    <t>9540</t>
  </si>
  <si>
    <t>96</t>
  </si>
  <si>
    <t>Personal service activities</t>
  </si>
  <si>
    <t>961</t>
  </si>
  <si>
    <t>Washing and cleaning of textile and fur products</t>
  </si>
  <si>
    <t>9610</t>
  </si>
  <si>
    <t>962</t>
  </si>
  <si>
    <t>Hairdressing, beauty treatment, day spa and similar activities</t>
  </si>
  <si>
    <t>9621</t>
  </si>
  <si>
    <t>Hairdressing and barber activities</t>
  </si>
  <si>
    <t>9622</t>
  </si>
  <si>
    <t>Beauty care and other beauty treatment activities</t>
  </si>
  <si>
    <t>9623</t>
  </si>
  <si>
    <t>Day spa, sauna and steam bath activities</t>
  </si>
  <si>
    <t>963</t>
  </si>
  <si>
    <t>Funeral and related activities</t>
  </si>
  <si>
    <t>9630</t>
  </si>
  <si>
    <t>964</t>
  </si>
  <si>
    <t>Intermediation service activities for personal services</t>
  </si>
  <si>
    <t>9640</t>
  </si>
  <si>
    <t>969</t>
  </si>
  <si>
    <t>Other personal service activities n.e.c.</t>
  </si>
  <si>
    <t>9690</t>
  </si>
  <si>
    <t>U</t>
  </si>
  <si>
    <t>Activities of households as employers; undifferentiated goods- and services-producing activities of households for own use</t>
  </si>
  <si>
    <t>97</t>
  </si>
  <si>
    <t>Activities of households as employers of domestic personnel</t>
  </si>
  <si>
    <t>970</t>
  </si>
  <si>
    <t>9700</t>
  </si>
  <si>
    <t>98</t>
  </si>
  <si>
    <t>Undifferentiated goods- and services-producing activities of private households for own use</t>
  </si>
  <si>
    <t>981</t>
  </si>
  <si>
    <t>Undifferentiated goods-producing activities of private households for own use</t>
  </si>
  <si>
    <t>9810</t>
  </si>
  <si>
    <t>982</t>
  </si>
  <si>
    <t>Undifferentiated service-producing activities of private households for own use</t>
  </si>
  <si>
    <t>9820</t>
  </si>
  <si>
    <t>V</t>
  </si>
  <si>
    <t xml:space="preserve">Activities of extraterritorial organizations and bodies </t>
  </si>
  <si>
    <t>99</t>
  </si>
  <si>
    <t>990</t>
  </si>
  <si>
    <t>9900</t>
  </si>
  <si>
    <t/>
  </si>
  <si>
    <t>Column4</t>
  </si>
  <si>
    <t>Column5</t>
  </si>
  <si>
    <t>SECTOR</t>
  </si>
  <si>
    <t>Column6</t>
  </si>
  <si>
    <t>Column7</t>
  </si>
  <si>
    <t>CODE</t>
  </si>
  <si>
    <t>INDUSTRY</t>
  </si>
  <si>
    <t>SUB-INDUSTRY</t>
  </si>
  <si>
    <t>Column8</t>
  </si>
  <si>
    <t>Column9</t>
  </si>
  <si>
    <t>Column10</t>
  </si>
  <si>
    <t>Column11</t>
  </si>
  <si>
    <t xml:space="preserve"> </t>
  </si>
  <si>
    <t>INDUSTRY CODE</t>
  </si>
  <si>
    <t>SECTOR CODE</t>
  </si>
  <si>
    <t>INDUSTRY GROUP</t>
  </si>
  <si>
    <t>INDUSTRY GROUP CODE</t>
  </si>
  <si>
    <t>SUBINDUSTRY</t>
  </si>
  <si>
    <t>SUBINDUSTRY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</si>
</sst>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1" fillId="30" borderId="0" xfId="39"/>
    <xf numFmtId="0" fontId="0" fillId="30" borderId="0" xfId="39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A20AD8-B26B-43A8-A542-CFE929C8F788}" autoFormatId="16" applyNumberFormats="0" applyBorderFormats="0" applyFontFormats="0" applyPatternFormats="0" applyAlignmentFormats="0" applyWidthHeightFormats="0">
  <queryTableRefresh nextId="15" unboundColumnsRight="8">
    <queryTableFields count="10">
      <queryTableField id="1" name="Column1" tableColumnId="1"/>
      <queryTableField id="2" name="Column2" tableColumnId="2"/>
      <queryTableField id="4" dataBound="0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980A1-E5CE-4F55-8384-0A5F483D822A}" name="ISIC_Rev_5_english_structure__1" displayName="ISIC_Rev_5_english_structure__1" ref="A1:J832" tableType="queryTable" totalsRowShown="0">
  <autoFilter ref="A1:J832" xr:uid="{942980A1-E5CE-4F55-8384-0A5F483D822A}"/>
  <tableColumns count="10">
    <tableColumn id="1" xr3:uid="{4FD07E68-604F-4E1D-AB28-039BFAB4F249}" uniqueName="1" name="Column1" queryTableFieldId="1" dataDxfId="9"/>
    <tableColumn id="2" xr3:uid="{89D5E364-6091-432F-9CA5-80654DAAB470}" uniqueName="2" name="Column2" queryTableFieldId="2" dataDxfId="8"/>
    <tableColumn id="4" xr3:uid="{8915E21C-84E7-49B8-AE4B-A694A7C1D052}" uniqueName="4" name="Column4" queryTableFieldId="4" dataDxfId="7"/>
    <tableColumn id="6" xr3:uid="{92C0A91E-74F4-4CD9-BED5-087FBDCA2290}" uniqueName="6" name="Column5" queryTableFieldId="6" dataDxfId="6">
      <calculatedColumnFormula array="1">_xlfn.XLOOKUP(ISIC_Rev_5_english_structure__1[[#This Row],[Column4]],INDUSTRYGROUP!C1:C22,INDUSTRYGROUP!C:D,"NONE")</calculatedColumnFormula>
    </tableColumn>
    <tableColumn id="7" xr3:uid="{C4B92B67-8992-4DE2-B4A2-DEC0E6F59BB8}" uniqueName="7" name="Column6" queryTableFieldId="7" dataDxfId="5">
      <calculatedColumnFormula>IF(LEN(ISIC_Rev_5_english_structure__1[[#This Row],[Column1]])=2, A2, "")</calculatedColumnFormula>
    </tableColumn>
    <tableColumn id="8" xr3:uid="{5CF00E9F-8821-461F-AD35-392736ED14E2}" uniqueName="8" name="Column7" queryTableFieldId="8" dataDxfId="4">
      <calculatedColumnFormula>_xlfn.XLOOKUP(LEFT(A2,2),SECTOR!$A$2:$A$88,SECTOR!$B$2:$B$88,"")</calculatedColumnFormula>
    </tableColumn>
    <tableColumn id="9" xr3:uid="{61B6DBF4-7E95-485A-9451-53ECCD5A8B05}" uniqueName="9" name="Column8" queryTableFieldId="9" dataDxfId="3">
      <calculatedColumnFormula>_xlfn.XLOOKUP(LEFT(A2,3),INDUSTRY!$A$2:$A$259,INDUSTRY!$A$2:$A$259,"")</calculatedColumnFormula>
    </tableColumn>
    <tableColumn id="10" xr3:uid="{4EAB4600-5A10-40CE-B4F5-DAD99D9DC0B8}" uniqueName="10" name="Column9" queryTableFieldId="10" dataDxfId="2">
      <calculatedColumnFormula>_xlfn.XLOOKUP(LEFT(A2,3),INDUSTRY!$A$2:$A$259,INDUSTRY!$B$2:$B$259,"")</calculatedColumnFormula>
    </tableColumn>
    <tableColumn id="13" xr3:uid="{D6771E89-D745-40E8-8448-A1AF5FB9286D}" uniqueName="13" name="Column10" queryTableFieldId="13" dataDxfId="1">
      <calculatedColumnFormula>IF(LEN(A2)=4,A2,"")</calculatedColumnFormula>
    </tableColumn>
    <tableColumn id="14" xr3:uid="{AC1B265E-EC89-4E3E-9E71-27A5F160D5E0}" uniqueName="14" name="Column11" queryTableFieldId="14" dataDxfId="0">
      <calculatedColumnFormula>IF(LEN(A2)=4,B2,"")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806B-B3A4-4B9B-99CC-50C2A8A662DC}">
  <dimension ref="A1:D464"/>
  <sheetViews>
    <sheetView tabSelected="1" topLeftCell="A444" workbookViewId="0">
      <selection sqref="A1:D1"/>
    </sheetView>
  </sheetViews>
  <sheetFormatPr defaultRowHeight="15" x14ac:dyDescent="0.25"/>
  <cols>
    <col min="1" max="1" width="24" customWidth="1"/>
    <col min="2" max="2" width="68.85546875" customWidth="1"/>
    <col min="3" max="3" width="21" customWidth="1"/>
    <col min="4" max="4" width="61.28515625" customWidth="1"/>
    <col min="5" max="5" width="24" customWidth="1"/>
    <col min="6" max="6" width="68.85546875" customWidth="1"/>
  </cols>
  <sheetData>
    <row r="1" spans="1:4" x14ac:dyDescent="0.25">
      <c r="A1" s="3" t="s">
        <v>2352</v>
      </c>
      <c r="B1" s="3" t="s">
        <v>2351</v>
      </c>
      <c r="C1" s="4" t="s">
        <v>2347</v>
      </c>
      <c r="D1" s="4" t="s">
        <v>2340</v>
      </c>
    </row>
    <row r="2" spans="1:4" x14ac:dyDescent="0.25">
      <c r="A2" t="s">
        <v>860</v>
      </c>
      <c r="B2" t="s">
        <v>861</v>
      </c>
      <c r="C2" t="s">
        <v>858</v>
      </c>
      <c r="D2" t="s">
        <v>859</v>
      </c>
    </row>
    <row r="3" spans="1:4" x14ac:dyDescent="0.25">
      <c r="A3" t="s">
        <v>862</v>
      </c>
      <c r="B3" t="s">
        <v>863</v>
      </c>
      <c r="C3" t="s">
        <v>858</v>
      </c>
      <c r="D3" t="s">
        <v>859</v>
      </c>
    </row>
    <row r="4" spans="1:4" x14ac:dyDescent="0.25">
      <c r="A4" t="s">
        <v>864</v>
      </c>
      <c r="B4" t="s">
        <v>865</v>
      </c>
      <c r="C4" t="s">
        <v>858</v>
      </c>
      <c r="D4" t="s">
        <v>859</v>
      </c>
    </row>
    <row r="5" spans="1:4" x14ac:dyDescent="0.25">
      <c r="A5" t="s">
        <v>866</v>
      </c>
      <c r="B5" t="s">
        <v>867</v>
      </c>
      <c r="C5" t="s">
        <v>858</v>
      </c>
      <c r="D5" t="s">
        <v>859</v>
      </c>
    </row>
    <row r="6" spans="1:4" x14ac:dyDescent="0.25">
      <c r="A6" t="s">
        <v>868</v>
      </c>
      <c r="B6" t="s">
        <v>869</v>
      </c>
      <c r="C6" t="s">
        <v>858</v>
      </c>
      <c r="D6" t="s">
        <v>859</v>
      </c>
    </row>
    <row r="7" spans="1:4" x14ac:dyDescent="0.25">
      <c r="A7" t="s">
        <v>870</v>
      </c>
      <c r="B7" t="s">
        <v>871</v>
      </c>
      <c r="C7" t="s">
        <v>858</v>
      </c>
      <c r="D7" t="s">
        <v>859</v>
      </c>
    </row>
    <row r="8" spans="1:4" x14ac:dyDescent="0.25">
      <c r="A8" t="s">
        <v>872</v>
      </c>
      <c r="B8" t="s">
        <v>873</v>
      </c>
      <c r="C8" t="s">
        <v>858</v>
      </c>
      <c r="D8" t="s">
        <v>859</v>
      </c>
    </row>
    <row r="9" spans="1:4" x14ac:dyDescent="0.25">
      <c r="A9" t="s">
        <v>876</v>
      </c>
      <c r="B9" t="s">
        <v>877</v>
      </c>
      <c r="C9" t="s">
        <v>874</v>
      </c>
      <c r="D9" t="s">
        <v>875</v>
      </c>
    </row>
    <row r="10" spans="1:4" x14ac:dyDescent="0.25">
      <c r="A10" t="s">
        <v>878</v>
      </c>
      <c r="B10" t="s">
        <v>879</v>
      </c>
      <c r="C10" t="s">
        <v>874</v>
      </c>
      <c r="D10" t="s">
        <v>875</v>
      </c>
    </row>
    <row r="11" spans="1:4" x14ac:dyDescent="0.25">
      <c r="A11" t="s">
        <v>880</v>
      </c>
      <c r="B11" t="s">
        <v>881</v>
      </c>
      <c r="C11" t="s">
        <v>874</v>
      </c>
      <c r="D11" t="s">
        <v>875</v>
      </c>
    </row>
    <row r="12" spans="1:4" x14ac:dyDescent="0.25">
      <c r="A12" t="s">
        <v>882</v>
      </c>
      <c r="B12" t="s">
        <v>883</v>
      </c>
      <c r="C12" t="s">
        <v>874</v>
      </c>
      <c r="D12" t="s">
        <v>875</v>
      </c>
    </row>
    <row r="13" spans="1:4" x14ac:dyDescent="0.25">
      <c r="A13" t="s">
        <v>884</v>
      </c>
      <c r="B13" t="s">
        <v>885</v>
      </c>
      <c r="C13" t="s">
        <v>874</v>
      </c>
      <c r="D13" t="s">
        <v>875</v>
      </c>
    </row>
    <row r="14" spans="1:4" x14ac:dyDescent="0.25">
      <c r="A14" t="s">
        <v>886</v>
      </c>
      <c r="B14" t="s">
        <v>887</v>
      </c>
      <c r="C14" t="s">
        <v>874</v>
      </c>
      <c r="D14" t="s">
        <v>875</v>
      </c>
    </row>
    <row r="15" spans="1:4" x14ac:dyDescent="0.25">
      <c r="A15" t="s">
        <v>888</v>
      </c>
      <c r="B15" t="s">
        <v>889</v>
      </c>
      <c r="C15" t="s">
        <v>874</v>
      </c>
      <c r="D15" t="s">
        <v>875</v>
      </c>
    </row>
    <row r="16" spans="1:4" x14ac:dyDescent="0.25">
      <c r="A16" t="s">
        <v>890</v>
      </c>
      <c r="B16" t="s">
        <v>891</v>
      </c>
      <c r="C16" t="s">
        <v>874</v>
      </c>
      <c r="D16" t="s">
        <v>875</v>
      </c>
    </row>
    <row r="17" spans="1:4" x14ac:dyDescent="0.25">
      <c r="A17" t="s">
        <v>892</v>
      </c>
      <c r="B17" t="s">
        <v>893</v>
      </c>
      <c r="C17" t="s">
        <v>874</v>
      </c>
      <c r="D17" t="s">
        <v>875</v>
      </c>
    </row>
    <row r="18" spans="1:4" x14ac:dyDescent="0.25">
      <c r="A18" t="s">
        <v>896</v>
      </c>
      <c r="B18" t="s">
        <v>895</v>
      </c>
      <c r="C18" t="s">
        <v>894</v>
      </c>
      <c r="D18" t="s">
        <v>895</v>
      </c>
    </row>
    <row r="19" spans="1:4" x14ac:dyDescent="0.25">
      <c r="A19" t="s">
        <v>899</v>
      </c>
      <c r="B19" t="s">
        <v>900</v>
      </c>
      <c r="C19" t="s">
        <v>897</v>
      </c>
      <c r="D19" t="s">
        <v>898</v>
      </c>
    </row>
    <row r="20" spans="1:4" x14ac:dyDescent="0.25">
      <c r="A20" t="s">
        <v>901</v>
      </c>
      <c r="B20" t="s">
        <v>902</v>
      </c>
      <c r="C20" t="s">
        <v>897</v>
      </c>
      <c r="D20" t="s">
        <v>898</v>
      </c>
    </row>
    <row r="21" spans="1:4" x14ac:dyDescent="0.25">
      <c r="A21" t="s">
        <v>903</v>
      </c>
      <c r="B21" t="s">
        <v>904</v>
      </c>
      <c r="C21" t="s">
        <v>897</v>
      </c>
      <c r="D21" t="s">
        <v>898</v>
      </c>
    </row>
    <row r="22" spans="1:4" x14ac:dyDescent="0.25">
      <c r="A22" t="s">
        <v>905</v>
      </c>
      <c r="B22" t="s">
        <v>906</v>
      </c>
      <c r="C22" t="s">
        <v>897</v>
      </c>
      <c r="D22" t="s">
        <v>898</v>
      </c>
    </row>
    <row r="23" spans="1:4" x14ac:dyDescent="0.25">
      <c r="A23" t="s">
        <v>907</v>
      </c>
      <c r="B23" t="s">
        <v>908</v>
      </c>
      <c r="C23" t="s">
        <v>897</v>
      </c>
      <c r="D23" t="s">
        <v>898</v>
      </c>
    </row>
    <row r="24" spans="1:4" x14ac:dyDescent="0.25">
      <c r="A24" t="s">
        <v>909</v>
      </c>
      <c r="B24" t="s">
        <v>910</v>
      </c>
      <c r="C24" t="s">
        <v>897</v>
      </c>
      <c r="D24" t="s">
        <v>898</v>
      </c>
    </row>
    <row r="25" spans="1:4" x14ac:dyDescent="0.25">
      <c r="A25" t="s">
        <v>911</v>
      </c>
      <c r="B25" t="s">
        <v>912</v>
      </c>
      <c r="C25" t="s">
        <v>897</v>
      </c>
      <c r="D25" t="s">
        <v>898</v>
      </c>
    </row>
    <row r="26" spans="1:4" x14ac:dyDescent="0.25">
      <c r="A26" t="s">
        <v>915</v>
      </c>
      <c r="B26" t="s">
        <v>914</v>
      </c>
      <c r="C26" t="s">
        <v>913</v>
      </c>
      <c r="D26" t="s">
        <v>914</v>
      </c>
    </row>
    <row r="27" spans="1:4" x14ac:dyDescent="0.25">
      <c r="A27" t="s">
        <v>918</v>
      </c>
      <c r="B27" t="s">
        <v>919</v>
      </c>
      <c r="C27" t="s">
        <v>916</v>
      </c>
      <c r="D27" t="s">
        <v>917</v>
      </c>
    </row>
    <row r="28" spans="1:4" x14ac:dyDescent="0.25">
      <c r="A28" t="s">
        <v>920</v>
      </c>
      <c r="B28" t="s">
        <v>921</v>
      </c>
      <c r="C28" t="s">
        <v>916</v>
      </c>
      <c r="D28" t="s">
        <v>917</v>
      </c>
    </row>
    <row r="29" spans="1:4" x14ac:dyDescent="0.25">
      <c r="A29" t="s">
        <v>922</v>
      </c>
      <c r="B29" t="s">
        <v>923</v>
      </c>
      <c r="C29" t="s">
        <v>916</v>
      </c>
      <c r="D29" t="s">
        <v>917</v>
      </c>
    </row>
    <row r="30" spans="1:4" x14ac:dyDescent="0.25">
      <c r="A30" t="s">
        <v>924</v>
      </c>
      <c r="B30" t="s">
        <v>925</v>
      </c>
      <c r="C30" t="s">
        <v>916</v>
      </c>
      <c r="D30" t="s">
        <v>917</v>
      </c>
    </row>
    <row r="31" spans="1:4" x14ac:dyDescent="0.25">
      <c r="A31" t="s">
        <v>928</v>
      </c>
      <c r="B31" t="s">
        <v>927</v>
      </c>
      <c r="C31" t="s">
        <v>926</v>
      </c>
      <c r="D31" t="s">
        <v>927</v>
      </c>
    </row>
    <row r="32" spans="1:4" x14ac:dyDescent="0.25">
      <c r="A32" t="s">
        <v>933</v>
      </c>
      <c r="B32" t="s">
        <v>932</v>
      </c>
      <c r="C32" t="s">
        <v>931</v>
      </c>
      <c r="D32" t="s">
        <v>932</v>
      </c>
    </row>
    <row r="33" spans="1:4" x14ac:dyDescent="0.25">
      <c r="A33" t="s">
        <v>936</v>
      </c>
      <c r="B33" t="s">
        <v>935</v>
      </c>
      <c r="C33" t="s">
        <v>934</v>
      </c>
      <c r="D33" t="s">
        <v>935</v>
      </c>
    </row>
    <row r="34" spans="1:4" x14ac:dyDescent="0.25">
      <c r="A34" t="s">
        <v>939</v>
      </c>
      <c r="B34" t="s">
        <v>938</v>
      </c>
      <c r="C34" t="s">
        <v>937</v>
      </c>
      <c r="D34" t="s">
        <v>938</v>
      </c>
    </row>
    <row r="35" spans="1:4" x14ac:dyDescent="0.25">
      <c r="A35" t="s">
        <v>942</v>
      </c>
      <c r="B35" t="s">
        <v>941</v>
      </c>
      <c r="C35" t="s">
        <v>940</v>
      </c>
      <c r="D35" t="s">
        <v>941</v>
      </c>
    </row>
    <row r="36" spans="1:4" x14ac:dyDescent="0.25">
      <c r="A36" t="s">
        <v>947</v>
      </c>
      <c r="B36" t="s">
        <v>948</v>
      </c>
      <c r="C36" t="s">
        <v>945</v>
      </c>
      <c r="D36" t="s">
        <v>946</v>
      </c>
    </row>
    <row r="37" spans="1:4" x14ac:dyDescent="0.25">
      <c r="A37" t="s">
        <v>949</v>
      </c>
      <c r="B37" t="s">
        <v>950</v>
      </c>
      <c r="C37" t="s">
        <v>945</v>
      </c>
      <c r="D37" t="s">
        <v>946</v>
      </c>
    </row>
    <row r="38" spans="1:4" x14ac:dyDescent="0.25">
      <c r="A38" t="s">
        <v>953</v>
      </c>
      <c r="B38" t="s">
        <v>954</v>
      </c>
      <c r="C38" t="s">
        <v>951</v>
      </c>
      <c r="D38" t="s">
        <v>952</v>
      </c>
    </row>
    <row r="39" spans="1:4" x14ac:dyDescent="0.25">
      <c r="A39" t="s">
        <v>955</v>
      </c>
      <c r="B39" t="s">
        <v>956</v>
      </c>
      <c r="C39" t="s">
        <v>951</v>
      </c>
      <c r="D39" t="s">
        <v>952</v>
      </c>
    </row>
    <row r="40" spans="1:4" x14ac:dyDescent="0.25">
      <c r="A40" t="s">
        <v>959</v>
      </c>
      <c r="B40" t="s">
        <v>958</v>
      </c>
      <c r="C40" t="s">
        <v>957</v>
      </c>
      <c r="D40" t="s">
        <v>958</v>
      </c>
    </row>
    <row r="41" spans="1:4" x14ac:dyDescent="0.25">
      <c r="A41" t="s">
        <v>966</v>
      </c>
      <c r="B41" t="s">
        <v>965</v>
      </c>
      <c r="C41" t="s">
        <v>964</v>
      </c>
      <c r="D41" t="s">
        <v>965</v>
      </c>
    </row>
    <row r="42" spans="1:4" x14ac:dyDescent="0.25">
      <c r="A42" t="s">
        <v>969</v>
      </c>
      <c r="B42" t="s">
        <v>968</v>
      </c>
      <c r="C42" t="s">
        <v>967</v>
      </c>
      <c r="D42" t="s">
        <v>968</v>
      </c>
    </row>
    <row r="43" spans="1:4" x14ac:dyDescent="0.25">
      <c r="A43" t="s">
        <v>974</v>
      </c>
      <c r="B43" t="s">
        <v>973</v>
      </c>
      <c r="C43" t="s">
        <v>972</v>
      </c>
      <c r="D43" t="s">
        <v>973</v>
      </c>
    </row>
    <row r="44" spans="1:4" x14ac:dyDescent="0.25">
      <c r="A44" t="s">
        <v>977</v>
      </c>
      <c r="B44" t="s">
        <v>976</v>
      </c>
      <c r="C44" t="s">
        <v>975</v>
      </c>
      <c r="D44" t="s">
        <v>976</v>
      </c>
    </row>
    <row r="45" spans="1:4" x14ac:dyDescent="0.25">
      <c r="A45" t="s">
        <v>982</v>
      </c>
      <c r="B45" t="s">
        <v>981</v>
      </c>
      <c r="C45" t="s">
        <v>980</v>
      </c>
      <c r="D45" t="s">
        <v>981</v>
      </c>
    </row>
    <row r="46" spans="1:4" x14ac:dyDescent="0.25">
      <c r="A46" t="s">
        <v>985</v>
      </c>
      <c r="B46" t="s">
        <v>986</v>
      </c>
      <c r="C46" t="s">
        <v>983</v>
      </c>
      <c r="D46" t="s">
        <v>984</v>
      </c>
    </row>
    <row r="47" spans="1:4" x14ac:dyDescent="0.25">
      <c r="A47" t="s">
        <v>987</v>
      </c>
      <c r="B47" t="s">
        <v>988</v>
      </c>
      <c r="C47" t="s">
        <v>983</v>
      </c>
      <c r="D47" t="s">
        <v>984</v>
      </c>
    </row>
    <row r="48" spans="1:4" x14ac:dyDescent="0.25">
      <c r="A48" t="s">
        <v>993</v>
      </c>
      <c r="B48" t="s">
        <v>992</v>
      </c>
      <c r="C48" t="s">
        <v>991</v>
      </c>
      <c r="D48" t="s">
        <v>992</v>
      </c>
    </row>
    <row r="49" spans="1:4" x14ac:dyDescent="0.25">
      <c r="A49" t="s">
        <v>996</v>
      </c>
      <c r="B49" t="s">
        <v>997</v>
      </c>
      <c r="C49" t="s">
        <v>994</v>
      </c>
      <c r="D49" t="s">
        <v>995</v>
      </c>
    </row>
    <row r="50" spans="1:4" x14ac:dyDescent="0.25">
      <c r="A50" t="s">
        <v>998</v>
      </c>
      <c r="B50" t="s">
        <v>999</v>
      </c>
      <c r="C50" t="s">
        <v>994</v>
      </c>
      <c r="D50" t="s">
        <v>995</v>
      </c>
    </row>
    <row r="51" spans="1:4" x14ac:dyDescent="0.25">
      <c r="A51" t="s">
        <v>1000</v>
      </c>
      <c r="B51" t="s">
        <v>1001</v>
      </c>
      <c r="C51" t="s">
        <v>994</v>
      </c>
      <c r="D51" t="s">
        <v>995</v>
      </c>
    </row>
    <row r="52" spans="1:4" x14ac:dyDescent="0.25">
      <c r="A52" t="s">
        <v>1002</v>
      </c>
      <c r="B52" t="s">
        <v>1003</v>
      </c>
      <c r="C52" t="s">
        <v>994</v>
      </c>
      <c r="D52" t="s">
        <v>995</v>
      </c>
    </row>
    <row r="53" spans="1:4" x14ac:dyDescent="0.25">
      <c r="A53" t="s">
        <v>1008</v>
      </c>
      <c r="B53" t="s">
        <v>1007</v>
      </c>
      <c r="C53" t="s">
        <v>1006</v>
      </c>
      <c r="D53" t="s">
        <v>1007</v>
      </c>
    </row>
    <row r="54" spans="1:4" x14ac:dyDescent="0.25">
      <c r="A54" t="s">
        <v>1011</v>
      </c>
      <c r="B54" t="s">
        <v>1010</v>
      </c>
      <c r="C54" t="s">
        <v>1009</v>
      </c>
      <c r="D54" t="s">
        <v>1010</v>
      </c>
    </row>
    <row r="55" spans="1:4" x14ac:dyDescent="0.25">
      <c r="A55" t="s">
        <v>1018</v>
      </c>
      <c r="B55" t="s">
        <v>1017</v>
      </c>
      <c r="C55" t="s">
        <v>1016</v>
      </c>
      <c r="D55" t="s">
        <v>1017</v>
      </c>
    </row>
    <row r="56" spans="1:4" x14ac:dyDescent="0.25">
      <c r="A56" t="s">
        <v>1021</v>
      </c>
      <c r="B56" t="s">
        <v>1020</v>
      </c>
      <c r="C56" t="s">
        <v>1019</v>
      </c>
      <c r="D56" t="s">
        <v>1020</v>
      </c>
    </row>
    <row r="57" spans="1:4" x14ac:dyDescent="0.25">
      <c r="A57" t="s">
        <v>1024</v>
      </c>
      <c r="B57" t="s">
        <v>1023</v>
      </c>
      <c r="C57" t="s">
        <v>1022</v>
      </c>
      <c r="D57" t="s">
        <v>1023</v>
      </c>
    </row>
    <row r="58" spans="1:4" x14ac:dyDescent="0.25">
      <c r="A58" t="s">
        <v>1027</v>
      </c>
      <c r="B58" t="s">
        <v>1026</v>
      </c>
      <c r="C58" t="s">
        <v>1025</v>
      </c>
      <c r="D58" t="s">
        <v>1026</v>
      </c>
    </row>
    <row r="59" spans="1:4" x14ac:dyDescent="0.25">
      <c r="A59" t="s">
        <v>1030</v>
      </c>
      <c r="B59" t="s">
        <v>1029</v>
      </c>
      <c r="C59" t="s">
        <v>1028</v>
      </c>
      <c r="D59" t="s">
        <v>1029</v>
      </c>
    </row>
    <row r="60" spans="1:4" x14ac:dyDescent="0.25">
      <c r="A60" t="s">
        <v>1033</v>
      </c>
      <c r="B60" t="s">
        <v>1034</v>
      </c>
      <c r="C60" t="s">
        <v>1031</v>
      </c>
      <c r="D60" t="s">
        <v>1032</v>
      </c>
    </row>
    <row r="61" spans="1:4" x14ac:dyDescent="0.25">
      <c r="A61" t="s">
        <v>1035</v>
      </c>
      <c r="B61" t="s">
        <v>1036</v>
      </c>
      <c r="C61" t="s">
        <v>1031</v>
      </c>
      <c r="D61" t="s">
        <v>1032</v>
      </c>
    </row>
    <row r="62" spans="1:4" x14ac:dyDescent="0.25">
      <c r="A62" t="s">
        <v>1039</v>
      </c>
      <c r="B62" t="s">
        <v>1040</v>
      </c>
      <c r="C62" t="s">
        <v>1037</v>
      </c>
      <c r="D62" t="s">
        <v>1038</v>
      </c>
    </row>
    <row r="63" spans="1:4" x14ac:dyDescent="0.25">
      <c r="A63" t="s">
        <v>1041</v>
      </c>
      <c r="B63" t="s">
        <v>1042</v>
      </c>
      <c r="C63" t="s">
        <v>1037</v>
      </c>
      <c r="D63" t="s">
        <v>1038</v>
      </c>
    </row>
    <row r="64" spans="1:4" x14ac:dyDescent="0.25">
      <c r="A64" t="s">
        <v>1043</v>
      </c>
      <c r="B64" t="s">
        <v>1044</v>
      </c>
      <c r="C64" t="s">
        <v>1037</v>
      </c>
      <c r="D64" t="s">
        <v>1038</v>
      </c>
    </row>
    <row r="65" spans="1:4" x14ac:dyDescent="0.25">
      <c r="A65" t="s">
        <v>1045</v>
      </c>
      <c r="B65" t="s">
        <v>1046</v>
      </c>
      <c r="C65" t="s">
        <v>1037</v>
      </c>
      <c r="D65" t="s">
        <v>1038</v>
      </c>
    </row>
    <row r="66" spans="1:4" x14ac:dyDescent="0.25">
      <c r="A66" t="s">
        <v>1047</v>
      </c>
      <c r="B66" t="s">
        <v>1048</v>
      </c>
      <c r="C66" t="s">
        <v>1037</v>
      </c>
      <c r="D66" t="s">
        <v>1038</v>
      </c>
    </row>
    <row r="67" spans="1:4" x14ac:dyDescent="0.25">
      <c r="A67" t="s">
        <v>1049</v>
      </c>
      <c r="B67" t="s">
        <v>1050</v>
      </c>
      <c r="C67" t="s">
        <v>1037</v>
      </c>
      <c r="D67" t="s">
        <v>1038</v>
      </c>
    </row>
    <row r="68" spans="1:4" x14ac:dyDescent="0.25">
      <c r="A68" t="s">
        <v>1051</v>
      </c>
      <c r="B68" t="s">
        <v>1052</v>
      </c>
      <c r="C68" t="s">
        <v>1037</v>
      </c>
      <c r="D68" t="s">
        <v>1038</v>
      </c>
    </row>
    <row r="69" spans="1:4" x14ac:dyDescent="0.25">
      <c r="A69" t="s">
        <v>1055</v>
      </c>
      <c r="B69" t="s">
        <v>1054</v>
      </c>
      <c r="C69" t="s">
        <v>1053</v>
      </c>
      <c r="D69" t="s">
        <v>1054</v>
      </c>
    </row>
    <row r="70" spans="1:4" x14ac:dyDescent="0.25">
      <c r="A70" t="s">
        <v>1059</v>
      </c>
      <c r="B70" t="s">
        <v>1060</v>
      </c>
      <c r="C70" t="s">
        <v>1058</v>
      </c>
      <c r="D70" t="s">
        <v>1057</v>
      </c>
    </row>
    <row r="71" spans="1:4" x14ac:dyDescent="0.25">
      <c r="A71" t="s">
        <v>1061</v>
      </c>
      <c r="B71" t="s">
        <v>1062</v>
      </c>
      <c r="C71" t="s">
        <v>1058</v>
      </c>
      <c r="D71" t="s">
        <v>1057</v>
      </c>
    </row>
    <row r="72" spans="1:4" x14ac:dyDescent="0.25">
      <c r="A72" t="s">
        <v>1063</v>
      </c>
      <c r="B72" t="s">
        <v>1064</v>
      </c>
      <c r="C72" t="s">
        <v>1058</v>
      </c>
      <c r="D72" t="s">
        <v>1057</v>
      </c>
    </row>
    <row r="73" spans="1:4" x14ac:dyDescent="0.25">
      <c r="A73" t="s">
        <v>1065</v>
      </c>
      <c r="B73" t="s">
        <v>1066</v>
      </c>
      <c r="C73" t="s">
        <v>1058</v>
      </c>
      <c r="D73" t="s">
        <v>1057</v>
      </c>
    </row>
    <row r="74" spans="1:4" x14ac:dyDescent="0.25">
      <c r="A74" t="s">
        <v>1067</v>
      </c>
      <c r="B74" t="s">
        <v>1068</v>
      </c>
      <c r="C74" t="s">
        <v>1058</v>
      </c>
      <c r="D74" t="s">
        <v>1057</v>
      </c>
    </row>
    <row r="75" spans="1:4" x14ac:dyDescent="0.25">
      <c r="A75" t="s">
        <v>1072</v>
      </c>
      <c r="B75" t="s">
        <v>1070</v>
      </c>
      <c r="C75" t="s">
        <v>1071</v>
      </c>
      <c r="D75" t="s">
        <v>1070</v>
      </c>
    </row>
    <row r="76" spans="1:4" x14ac:dyDescent="0.25">
      <c r="A76" t="s">
        <v>1077</v>
      </c>
      <c r="B76" t="s">
        <v>1078</v>
      </c>
      <c r="C76" t="s">
        <v>1075</v>
      </c>
      <c r="D76" t="s">
        <v>1076</v>
      </c>
    </row>
    <row r="77" spans="1:4" x14ac:dyDescent="0.25">
      <c r="A77" t="s">
        <v>1079</v>
      </c>
      <c r="B77" t="s">
        <v>1080</v>
      </c>
      <c r="C77" t="s">
        <v>1075</v>
      </c>
      <c r="D77" t="s">
        <v>1076</v>
      </c>
    </row>
    <row r="78" spans="1:4" x14ac:dyDescent="0.25">
      <c r="A78" t="s">
        <v>1081</v>
      </c>
      <c r="B78" t="s">
        <v>1082</v>
      </c>
      <c r="C78" t="s">
        <v>1075</v>
      </c>
      <c r="D78" t="s">
        <v>1076</v>
      </c>
    </row>
    <row r="79" spans="1:4" x14ac:dyDescent="0.25">
      <c r="A79" t="s">
        <v>1085</v>
      </c>
      <c r="B79" t="s">
        <v>1086</v>
      </c>
      <c r="C79" t="s">
        <v>1083</v>
      </c>
      <c r="D79" t="s">
        <v>1084</v>
      </c>
    </row>
    <row r="80" spans="1:4" x14ac:dyDescent="0.25">
      <c r="A80" t="s">
        <v>1087</v>
      </c>
      <c r="B80" t="s">
        <v>1088</v>
      </c>
      <c r="C80" t="s">
        <v>1083</v>
      </c>
      <c r="D80" t="s">
        <v>1084</v>
      </c>
    </row>
    <row r="81" spans="1:4" x14ac:dyDescent="0.25">
      <c r="A81" t="s">
        <v>1089</v>
      </c>
      <c r="B81" t="s">
        <v>1090</v>
      </c>
      <c r="C81" t="s">
        <v>1083</v>
      </c>
      <c r="D81" t="s">
        <v>1084</v>
      </c>
    </row>
    <row r="82" spans="1:4" x14ac:dyDescent="0.25">
      <c r="A82" t="s">
        <v>1091</v>
      </c>
      <c r="B82" t="s">
        <v>1092</v>
      </c>
      <c r="C82" t="s">
        <v>1083</v>
      </c>
      <c r="D82" t="s">
        <v>1084</v>
      </c>
    </row>
    <row r="83" spans="1:4" x14ac:dyDescent="0.25">
      <c r="A83" t="s">
        <v>1093</v>
      </c>
      <c r="B83" t="s">
        <v>1094</v>
      </c>
      <c r="C83" t="s">
        <v>1083</v>
      </c>
      <c r="D83" t="s">
        <v>1084</v>
      </c>
    </row>
    <row r="84" spans="1:4" x14ac:dyDescent="0.25">
      <c r="A84" t="s">
        <v>1099</v>
      </c>
      <c r="B84" t="s">
        <v>1098</v>
      </c>
      <c r="C84" t="s">
        <v>1097</v>
      </c>
      <c r="D84" t="s">
        <v>1098</v>
      </c>
    </row>
    <row r="85" spans="1:4" x14ac:dyDescent="0.25">
      <c r="A85" t="s">
        <v>1102</v>
      </c>
      <c r="B85" t="s">
        <v>1101</v>
      </c>
      <c r="C85" t="s">
        <v>1100</v>
      </c>
      <c r="D85" t="s">
        <v>1101</v>
      </c>
    </row>
    <row r="86" spans="1:4" x14ac:dyDescent="0.25">
      <c r="A86" t="s">
        <v>1105</v>
      </c>
      <c r="B86" t="s">
        <v>1104</v>
      </c>
      <c r="C86" t="s">
        <v>1103</v>
      </c>
      <c r="D86" t="s">
        <v>1104</v>
      </c>
    </row>
    <row r="87" spans="1:4" x14ac:dyDescent="0.25">
      <c r="A87" t="s">
        <v>1110</v>
      </c>
      <c r="B87" t="s">
        <v>1111</v>
      </c>
      <c r="C87" t="s">
        <v>1108</v>
      </c>
      <c r="D87" t="s">
        <v>1109</v>
      </c>
    </row>
    <row r="88" spans="1:4" x14ac:dyDescent="0.25">
      <c r="A88" t="s">
        <v>1112</v>
      </c>
      <c r="B88" t="s">
        <v>1113</v>
      </c>
      <c r="C88" t="s">
        <v>1108</v>
      </c>
      <c r="D88" t="s">
        <v>1109</v>
      </c>
    </row>
    <row r="89" spans="1:4" x14ac:dyDescent="0.25">
      <c r="A89" t="s">
        <v>1116</v>
      </c>
      <c r="B89" t="s">
        <v>1115</v>
      </c>
      <c r="C89" t="s">
        <v>1114</v>
      </c>
      <c r="D89" t="s">
        <v>1115</v>
      </c>
    </row>
    <row r="90" spans="1:4" x14ac:dyDescent="0.25">
      <c r="A90" t="s">
        <v>1121</v>
      </c>
      <c r="B90" t="s">
        <v>1120</v>
      </c>
      <c r="C90" t="s">
        <v>1119</v>
      </c>
      <c r="D90" t="s">
        <v>1120</v>
      </c>
    </row>
    <row r="91" spans="1:4" x14ac:dyDescent="0.25">
      <c r="A91" t="s">
        <v>1124</v>
      </c>
      <c r="B91" t="s">
        <v>1125</v>
      </c>
      <c r="C91" t="s">
        <v>1122</v>
      </c>
      <c r="D91" t="s">
        <v>1123</v>
      </c>
    </row>
    <row r="92" spans="1:4" x14ac:dyDescent="0.25">
      <c r="A92" t="s">
        <v>1126</v>
      </c>
      <c r="B92" t="s">
        <v>1127</v>
      </c>
      <c r="C92" t="s">
        <v>1122</v>
      </c>
      <c r="D92" t="s">
        <v>1123</v>
      </c>
    </row>
    <row r="93" spans="1:4" x14ac:dyDescent="0.25">
      <c r="A93" t="s">
        <v>1128</v>
      </c>
      <c r="B93" t="s">
        <v>1129</v>
      </c>
      <c r="C93" t="s">
        <v>1122</v>
      </c>
      <c r="D93" t="s">
        <v>1123</v>
      </c>
    </row>
    <row r="94" spans="1:4" x14ac:dyDescent="0.25">
      <c r="A94" t="s">
        <v>1130</v>
      </c>
      <c r="B94" t="s">
        <v>1131</v>
      </c>
      <c r="C94" t="s">
        <v>1122</v>
      </c>
      <c r="D94" t="s">
        <v>1123</v>
      </c>
    </row>
    <row r="95" spans="1:4" x14ac:dyDescent="0.25">
      <c r="A95" t="s">
        <v>1135</v>
      </c>
      <c r="B95" t="s">
        <v>1136</v>
      </c>
      <c r="C95" t="s">
        <v>1134</v>
      </c>
      <c r="D95" t="s">
        <v>1133</v>
      </c>
    </row>
    <row r="96" spans="1:4" x14ac:dyDescent="0.25">
      <c r="A96" t="s">
        <v>1137</v>
      </c>
      <c r="B96" t="s">
        <v>1138</v>
      </c>
      <c r="C96" t="s">
        <v>1134</v>
      </c>
      <c r="D96" t="s">
        <v>1133</v>
      </c>
    </row>
    <row r="97" spans="1:4" x14ac:dyDescent="0.25">
      <c r="A97" t="s">
        <v>1139</v>
      </c>
      <c r="B97" t="s">
        <v>1140</v>
      </c>
      <c r="C97" t="s">
        <v>1134</v>
      </c>
      <c r="D97" t="s">
        <v>1133</v>
      </c>
    </row>
    <row r="98" spans="1:4" x14ac:dyDescent="0.25">
      <c r="A98" t="s">
        <v>1145</v>
      </c>
      <c r="B98" t="s">
        <v>1146</v>
      </c>
      <c r="C98" t="s">
        <v>1143</v>
      </c>
      <c r="D98" t="s">
        <v>1144</v>
      </c>
    </row>
    <row r="99" spans="1:4" x14ac:dyDescent="0.25">
      <c r="A99" t="s">
        <v>1147</v>
      </c>
      <c r="B99" t="s">
        <v>1148</v>
      </c>
      <c r="C99" t="s">
        <v>1143</v>
      </c>
      <c r="D99" t="s">
        <v>1144</v>
      </c>
    </row>
    <row r="100" spans="1:4" x14ac:dyDescent="0.25">
      <c r="A100" t="s">
        <v>1151</v>
      </c>
      <c r="B100" t="s">
        <v>1150</v>
      </c>
      <c r="C100" t="s">
        <v>1149</v>
      </c>
      <c r="D100" t="s">
        <v>1150</v>
      </c>
    </row>
    <row r="101" spans="1:4" x14ac:dyDescent="0.25">
      <c r="A101" t="s">
        <v>1156</v>
      </c>
      <c r="B101" t="s">
        <v>1155</v>
      </c>
      <c r="C101" t="s">
        <v>1154</v>
      </c>
      <c r="D101" t="s">
        <v>1155</v>
      </c>
    </row>
    <row r="102" spans="1:4" x14ac:dyDescent="0.25">
      <c r="A102" t="s">
        <v>1159</v>
      </c>
      <c r="B102" t="s">
        <v>1158</v>
      </c>
      <c r="C102" t="s">
        <v>1157</v>
      </c>
      <c r="D102" t="s">
        <v>1158</v>
      </c>
    </row>
    <row r="103" spans="1:4" x14ac:dyDescent="0.25">
      <c r="A103" t="s">
        <v>1164</v>
      </c>
      <c r="B103" t="s">
        <v>1165</v>
      </c>
      <c r="C103" t="s">
        <v>1162</v>
      </c>
      <c r="D103" t="s">
        <v>1163</v>
      </c>
    </row>
    <row r="104" spans="1:4" x14ac:dyDescent="0.25">
      <c r="A104" t="s">
        <v>1166</v>
      </c>
      <c r="B104" t="s">
        <v>1167</v>
      </c>
      <c r="C104" t="s">
        <v>1162</v>
      </c>
      <c r="D104" t="s">
        <v>1163</v>
      </c>
    </row>
    <row r="105" spans="1:4" x14ac:dyDescent="0.25">
      <c r="A105" t="s">
        <v>1168</v>
      </c>
      <c r="B105" t="s">
        <v>1169</v>
      </c>
      <c r="C105" t="s">
        <v>1162</v>
      </c>
      <c r="D105" t="s">
        <v>1163</v>
      </c>
    </row>
    <row r="106" spans="1:4" x14ac:dyDescent="0.25">
      <c r="A106" t="s">
        <v>1172</v>
      </c>
      <c r="B106" t="s">
        <v>1173</v>
      </c>
      <c r="C106" t="s">
        <v>1170</v>
      </c>
      <c r="D106" t="s">
        <v>1171</v>
      </c>
    </row>
    <row r="107" spans="1:4" x14ac:dyDescent="0.25">
      <c r="A107" t="s">
        <v>1174</v>
      </c>
      <c r="B107" t="s">
        <v>1175</v>
      </c>
      <c r="C107" t="s">
        <v>1170</v>
      </c>
      <c r="D107" t="s">
        <v>1171</v>
      </c>
    </row>
    <row r="108" spans="1:4" x14ac:dyDescent="0.25">
      <c r="A108" t="s">
        <v>1176</v>
      </c>
      <c r="B108" t="s">
        <v>1177</v>
      </c>
      <c r="C108" t="s">
        <v>1170</v>
      </c>
      <c r="D108" t="s">
        <v>1171</v>
      </c>
    </row>
    <row r="109" spans="1:4" x14ac:dyDescent="0.25">
      <c r="A109" t="s">
        <v>1178</v>
      </c>
      <c r="B109" t="s">
        <v>1179</v>
      </c>
      <c r="C109" t="s">
        <v>1170</v>
      </c>
      <c r="D109" t="s">
        <v>1171</v>
      </c>
    </row>
    <row r="110" spans="1:4" x14ac:dyDescent="0.25">
      <c r="A110" t="s">
        <v>1182</v>
      </c>
      <c r="B110" t="s">
        <v>1181</v>
      </c>
      <c r="C110" t="s">
        <v>1180</v>
      </c>
      <c r="D110" t="s">
        <v>1181</v>
      </c>
    </row>
    <row r="111" spans="1:4" x14ac:dyDescent="0.25">
      <c r="A111" t="s">
        <v>1187</v>
      </c>
      <c r="B111" t="s">
        <v>1186</v>
      </c>
      <c r="C111" t="s">
        <v>1185</v>
      </c>
      <c r="D111" t="s">
        <v>1186</v>
      </c>
    </row>
    <row r="112" spans="1:4" x14ac:dyDescent="0.25">
      <c r="A112" t="s">
        <v>1192</v>
      </c>
      <c r="B112" t="s">
        <v>1193</v>
      </c>
      <c r="C112" t="s">
        <v>1190</v>
      </c>
      <c r="D112" t="s">
        <v>1191</v>
      </c>
    </row>
    <row r="113" spans="1:4" x14ac:dyDescent="0.25">
      <c r="A113" t="s">
        <v>1194</v>
      </c>
      <c r="B113" t="s">
        <v>1195</v>
      </c>
      <c r="C113" t="s">
        <v>1190</v>
      </c>
      <c r="D113" t="s">
        <v>1191</v>
      </c>
    </row>
    <row r="114" spans="1:4" x14ac:dyDescent="0.25">
      <c r="A114" t="s">
        <v>1198</v>
      </c>
      <c r="B114" t="s">
        <v>1197</v>
      </c>
      <c r="C114" t="s">
        <v>1196</v>
      </c>
      <c r="D114" t="s">
        <v>1197</v>
      </c>
    </row>
    <row r="115" spans="1:4" x14ac:dyDescent="0.25">
      <c r="A115" t="s">
        <v>1203</v>
      </c>
      <c r="B115" t="s">
        <v>1202</v>
      </c>
      <c r="C115" t="s">
        <v>1201</v>
      </c>
      <c r="D115" t="s">
        <v>1202</v>
      </c>
    </row>
    <row r="116" spans="1:4" x14ac:dyDescent="0.25">
      <c r="A116" t="s">
        <v>1206</v>
      </c>
      <c r="B116" t="s">
        <v>1207</v>
      </c>
      <c r="C116" t="s">
        <v>1204</v>
      </c>
      <c r="D116" t="s">
        <v>1205</v>
      </c>
    </row>
    <row r="117" spans="1:4" x14ac:dyDescent="0.25">
      <c r="A117" t="s">
        <v>1208</v>
      </c>
      <c r="B117" t="s">
        <v>1209</v>
      </c>
      <c r="C117" t="s">
        <v>1204</v>
      </c>
      <c r="D117" t="s">
        <v>1205</v>
      </c>
    </row>
    <row r="118" spans="1:4" x14ac:dyDescent="0.25">
      <c r="A118" t="s">
        <v>1210</v>
      </c>
      <c r="B118" t="s">
        <v>1211</v>
      </c>
      <c r="C118" t="s">
        <v>1204</v>
      </c>
      <c r="D118" t="s">
        <v>1205</v>
      </c>
    </row>
    <row r="119" spans="1:4" x14ac:dyDescent="0.25">
      <c r="A119" t="s">
        <v>1212</v>
      </c>
      <c r="B119" t="s">
        <v>1213</v>
      </c>
      <c r="C119" t="s">
        <v>1204</v>
      </c>
      <c r="D119" t="s">
        <v>1205</v>
      </c>
    </row>
    <row r="120" spans="1:4" x14ac:dyDescent="0.25">
      <c r="A120" t="s">
        <v>1214</v>
      </c>
      <c r="B120" t="s">
        <v>1215</v>
      </c>
      <c r="C120" t="s">
        <v>1204</v>
      </c>
      <c r="D120" t="s">
        <v>1205</v>
      </c>
    </row>
    <row r="121" spans="1:4" x14ac:dyDescent="0.25">
      <c r="A121" t="s">
        <v>1216</v>
      </c>
      <c r="B121" t="s">
        <v>1217</v>
      </c>
      <c r="C121" t="s">
        <v>1204</v>
      </c>
      <c r="D121" t="s">
        <v>1205</v>
      </c>
    </row>
    <row r="122" spans="1:4" x14ac:dyDescent="0.25">
      <c r="A122" t="s">
        <v>1218</v>
      </c>
      <c r="B122" t="s">
        <v>1219</v>
      </c>
      <c r="C122" t="s">
        <v>1204</v>
      </c>
      <c r="D122" t="s">
        <v>1205</v>
      </c>
    </row>
    <row r="123" spans="1:4" x14ac:dyDescent="0.25">
      <c r="A123" t="s">
        <v>1224</v>
      </c>
      <c r="B123" t="s">
        <v>1223</v>
      </c>
      <c r="C123" t="s">
        <v>1222</v>
      </c>
      <c r="D123" t="s">
        <v>1223</v>
      </c>
    </row>
    <row r="124" spans="1:4" x14ac:dyDescent="0.25">
      <c r="A124" t="s">
        <v>1227</v>
      </c>
      <c r="B124" t="s">
        <v>1226</v>
      </c>
      <c r="C124" t="s">
        <v>1225</v>
      </c>
      <c r="D124" t="s">
        <v>1226</v>
      </c>
    </row>
    <row r="125" spans="1:4" x14ac:dyDescent="0.25">
      <c r="A125" t="s">
        <v>1230</v>
      </c>
      <c r="B125" t="s">
        <v>1231</v>
      </c>
      <c r="C125" t="s">
        <v>1228</v>
      </c>
      <c r="D125" t="s">
        <v>1229</v>
      </c>
    </row>
    <row r="126" spans="1:4" x14ac:dyDescent="0.25">
      <c r="A126" t="s">
        <v>1232</v>
      </c>
      <c r="B126" t="s">
        <v>1233</v>
      </c>
      <c r="C126" t="s">
        <v>1228</v>
      </c>
      <c r="D126" t="s">
        <v>1229</v>
      </c>
    </row>
    <row r="127" spans="1:4" x14ac:dyDescent="0.25">
      <c r="A127" t="s">
        <v>1238</v>
      </c>
      <c r="B127" t="s">
        <v>1239</v>
      </c>
      <c r="C127" t="s">
        <v>1236</v>
      </c>
      <c r="D127" t="s">
        <v>1237</v>
      </c>
    </row>
    <row r="128" spans="1:4" x14ac:dyDescent="0.25">
      <c r="A128" t="s">
        <v>1240</v>
      </c>
      <c r="B128" t="s">
        <v>1241</v>
      </c>
      <c r="C128" t="s">
        <v>1236</v>
      </c>
      <c r="D128" t="s">
        <v>1237</v>
      </c>
    </row>
    <row r="129" spans="1:4" x14ac:dyDescent="0.25">
      <c r="A129" t="s">
        <v>1242</v>
      </c>
      <c r="B129" t="s">
        <v>1243</v>
      </c>
      <c r="C129" t="s">
        <v>1236</v>
      </c>
      <c r="D129" t="s">
        <v>1237</v>
      </c>
    </row>
    <row r="130" spans="1:4" x14ac:dyDescent="0.25">
      <c r="A130" t="s">
        <v>1246</v>
      </c>
      <c r="B130" t="s">
        <v>1245</v>
      </c>
      <c r="C130" t="s">
        <v>1244</v>
      </c>
      <c r="D130" t="s">
        <v>1245</v>
      </c>
    </row>
    <row r="131" spans="1:4" x14ac:dyDescent="0.25">
      <c r="A131" t="s">
        <v>1249</v>
      </c>
      <c r="B131" t="s">
        <v>1250</v>
      </c>
      <c r="C131" t="s">
        <v>1247</v>
      </c>
      <c r="D131" t="s">
        <v>1248</v>
      </c>
    </row>
    <row r="132" spans="1:4" x14ac:dyDescent="0.25">
      <c r="A132" t="s">
        <v>1251</v>
      </c>
      <c r="B132" t="s">
        <v>1252</v>
      </c>
      <c r="C132" t="s">
        <v>1247</v>
      </c>
      <c r="D132" t="s">
        <v>1248</v>
      </c>
    </row>
    <row r="133" spans="1:4" x14ac:dyDescent="0.25">
      <c r="A133" t="s">
        <v>1253</v>
      </c>
      <c r="B133" t="s">
        <v>1254</v>
      </c>
      <c r="C133" t="s">
        <v>1247</v>
      </c>
      <c r="D133" t="s">
        <v>1248</v>
      </c>
    </row>
    <row r="134" spans="1:4" x14ac:dyDescent="0.25">
      <c r="A134" t="s">
        <v>1255</v>
      </c>
      <c r="B134" t="s">
        <v>1256</v>
      </c>
      <c r="C134" t="s">
        <v>1247</v>
      </c>
      <c r="D134" t="s">
        <v>1248</v>
      </c>
    </row>
    <row r="135" spans="1:4" x14ac:dyDescent="0.25">
      <c r="A135" t="s">
        <v>1261</v>
      </c>
      <c r="B135" t="s">
        <v>1262</v>
      </c>
      <c r="C135" t="s">
        <v>1259</v>
      </c>
      <c r="D135" t="s">
        <v>1260</v>
      </c>
    </row>
    <row r="136" spans="1:4" x14ac:dyDescent="0.25">
      <c r="A136" t="s">
        <v>1263</v>
      </c>
      <c r="B136" t="s">
        <v>1264</v>
      </c>
      <c r="C136" t="s">
        <v>1259</v>
      </c>
      <c r="D136" t="s">
        <v>1260</v>
      </c>
    </row>
    <row r="137" spans="1:4" x14ac:dyDescent="0.25">
      <c r="A137" t="s">
        <v>1267</v>
      </c>
      <c r="B137" t="s">
        <v>1266</v>
      </c>
      <c r="C137" t="s">
        <v>1265</v>
      </c>
      <c r="D137" t="s">
        <v>1266</v>
      </c>
    </row>
    <row r="138" spans="1:4" x14ac:dyDescent="0.25">
      <c r="A138" t="s">
        <v>1270</v>
      </c>
      <c r="B138" t="s">
        <v>1269</v>
      </c>
      <c r="C138" t="s">
        <v>1268</v>
      </c>
      <c r="D138" t="s">
        <v>1269</v>
      </c>
    </row>
    <row r="139" spans="1:4" x14ac:dyDescent="0.25">
      <c r="A139" t="s">
        <v>1273</v>
      </c>
      <c r="B139" t="s">
        <v>1272</v>
      </c>
      <c r="C139" t="s">
        <v>1271</v>
      </c>
      <c r="D139" t="s">
        <v>1272</v>
      </c>
    </row>
    <row r="140" spans="1:4" x14ac:dyDescent="0.25">
      <c r="A140" t="s">
        <v>1276</v>
      </c>
      <c r="B140" t="s">
        <v>1277</v>
      </c>
      <c r="C140" t="s">
        <v>1274</v>
      </c>
      <c r="D140" t="s">
        <v>1275</v>
      </c>
    </row>
    <row r="141" spans="1:4" x14ac:dyDescent="0.25">
      <c r="A141" t="s">
        <v>1278</v>
      </c>
      <c r="B141" t="s">
        <v>1279</v>
      </c>
      <c r="C141" t="s">
        <v>1274</v>
      </c>
      <c r="D141" t="s">
        <v>1275</v>
      </c>
    </row>
    <row r="142" spans="1:4" x14ac:dyDescent="0.25">
      <c r="A142" t="s">
        <v>1282</v>
      </c>
      <c r="B142" t="s">
        <v>1281</v>
      </c>
      <c r="C142" t="s">
        <v>1280</v>
      </c>
      <c r="D142" t="s">
        <v>1281</v>
      </c>
    </row>
    <row r="143" spans="1:4" x14ac:dyDescent="0.25">
      <c r="A143" t="s">
        <v>1285</v>
      </c>
      <c r="B143" t="s">
        <v>1284</v>
      </c>
      <c r="C143" t="s">
        <v>1283</v>
      </c>
      <c r="D143" t="s">
        <v>1284</v>
      </c>
    </row>
    <row r="144" spans="1:4" x14ac:dyDescent="0.25">
      <c r="A144" t="s">
        <v>1288</v>
      </c>
      <c r="B144" t="s">
        <v>1287</v>
      </c>
      <c r="C144" t="s">
        <v>1286</v>
      </c>
      <c r="D144" t="s">
        <v>1287</v>
      </c>
    </row>
    <row r="145" spans="1:4" x14ac:dyDescent="0.25">
      <c r="A145" t="s">
        <v>1293</v>
      </c>
      <c r="B145" t="s">
        <v>1292</v>
      </c>
      <c r="C145" t="s">
        <v>1291</v>
      </c>
      <c r="D145" t="s">
        <v>1292</v>
      </c>
    </row>
    <row r="146" spans="1:4" x14ac:dyDescent="0.25">
      <c r="A146" t="s">
        <v>1296</v>
      </c>
      <c r="B146" t="s">
        <v>1295</v>
      </c>
      <c r="C146" t="s">
        <v>1294</v>
      </c>
      <c r="D146" t="s">
        <v>1295</v>
      </c>
    </row>
    <row r="147" spans="1:4" x14ac:dyDescent="0.25">
      <c r="A147" t="s">
        <v>1299</v>
      </c>
      <c r="B147" t="s">
        <v>1300</v>
      </c>
      <c r="C147" t="s">
        <v>1297</v>
      </c>
      <c r="D147" t="s">
        <v>1298</v>
      </c>
    </row>
    <row r="148" spans="1:4" x14ac:dyDescent="0.25">
      <c r="A148" t="s">
        <v>1301</v>
      </c>
      <c r="B148" t="s">
        <v>1302</v>
      </c>
      <c r="C148" t="s">
        <v>1297</v>
      </c>
      <c r="D148" t="s">
        <v>1298</v>
      </c>
    </row>
    <row r="149" spans="1:4" x14ac:dyDescent="0.25">
      <c r="A149" t="s">
        <v>1303</v>
      </c>
      <c r="B149" t="s">
        <v>1304</v>
      </c>
      <c r="C149" t="s">
        <v>1297</v>
      </c>
      <c r="D149" t="s">
        <v>1298</v>
      </c>
    </row>
    <row r="150" spans="1:4" x14ac:dyDescent="0.25">
      <c r="A150" t="s">
        <v>1307</v>
      </c>
      <c r="B150" t="s">
        <v>1306</v>
      </c>
      <c r="C150" t="s">
        <v>1305</v>
      </c>
      <c r="D150" t="s">
        <v>1306</v>
      </c>
    </row>
    <row r="151" spans="1:4" x14ac:dyDescent="0.25">
      <c r="A151" t="s">
        <v>1310</v>
      </c>
      <c r="B151" t="s">
        <v>1309</v>
      </c>
      <c r="C151" t="s">
        <v>1308</v>
      </c>
      <c r="D151" t="s">
        <v>1309</v>
      </c>
    </row>
    <row r="152" spans="1:4" x14ac:dyDescent="0.25">
      <c r="A152" t="s">
        <v>1313</v>
      </c>
      <c r="B152" t="s">
        <v>1312</v>
      </c>
      <c r="C152" t="s">
        <v>1311</v>
      </c>
      <c r="D152" t="s">
        <v>1312</v>
      </c>
    </row>
    <row r="153" spans="1:4" x14ac:dyDescent="0.25">
      <c r="A153" t="s">
        <v>1318</v>
      </c>
      <c r="B153" t="s">
        <v>1319</v>
      </c>
      <c r="C153" t="s">
        <v>1316</v>
      </c>
      <c r="D153" t="s">
        <v>1317</v>
      </c>
    </row>
    <row r="154" spans="1:4" x14ac:dyDescent="0.25">
      <c r="A154" t="s">
        <v>1320</v>
      </c>
      <c r="B154" t="s">
        <v>1321</v>
      </c>
      <c r="C154" t="s">
        <v>1316</v>
      </c>
      <c r="D154" t="s">
        <v>1317</v>
      </c>
    </row>
    <row r="155" spans="1:4" x14ac:dyDescent="0.25">
      <c r="A155" t="s">
        <v>1322</v>
      </c>
      <c r="B155" t="s">
        <v>1323</v>
      </c>
      <c r="C155" t="s">
        <v>1316</v>
      </c>
      <c r="D155" t="s">
        <v>1317</v>
      </c>
    </row>
    <row r="156" spans="1:4" x14ac:dyDescent="0.25">
      <c r="A156" t="s">
        <v>1324</v>
      </c>
      <c r="B156" t="s">
        <v>1325</v>
      </c>
      <c r="C156" t="s">
        <v>1316</v>
      </c>
      <c r="D156" t="s">
        <v>1317</v>
      </c>
    </row>
    <row r="157" spans="1:4" x14ac:dyDescent="0.25">
      <c r="A157" t="s">
        <v>1326</v>
      </c>
      <c r="B157" t="s">
        <v>1327</v>
      </c>
      <c r="C157" t="s">
        <v>1316</v>
      </c>
      <c r="D157" t="s">
        <v>1317</v>
      </c>
    </row>
    <row r="158" spans="1:4" x14ac:dyDescent="0.25">
      <c r="A158" t="s">
        <v>1328</v>
      </c>
      <c r="B158" t="s">
        <v>1329</v>
      </c>
      <c r="C158" t="s">
        <v>1316</v>
      </c>
      <c r="D158" t="s">
        <v>1317</v>
      </c>
    </row>
    <row r="159" spans="1:4" x14ac:dyDescent="0.25">
      <c r="A159" t="s">
        <v>1330</v>
      </c>
      <c r="B159" t="s">
        <v>1331</v>
      </c>
      <c r="C159" t="s">
        <v>1316</v>
      </c>
      <c r="D159" t="s">
        <v>1317</v>
      </c>
    </row>
    <row r="160" spans="1:4" x14ac:dyDescent="0.25">
      <c r="A160" t="s">
        <v>1332</v>
      </c>
      <c r="B160" t="s">
        <v>1333</v>
      </c>
      <c r="C160" t="s">
        <v>1316</v>
      </c>
      <c r="D160" t="s">
        <v>1317</v>
      </c>
    </row>
    <row r="161" spans="1:4" x14ac:dyDescent="0.25">
      <c r="A161" t="s">
        <v>1334</v>
      </c>
      <c r="B161" t="s">
        <v>1335</v>
      </c>
      <c r="C161" t="s">
        <v>1316</v>
      </c>
      <c r="D161" t="s">
        <v>1317</v>
      </c>
    </row>
    <row r="162" spans="1:4" x14ac:dyDescent="0.25">
      <c r="A162" t="s">
        <v>1338</v>
      </c>
      <c r="B162" t="s">
        <v>1339</v>
      </c>
      <c r="C162" t="s">
        <v>1336</v>
      </c>
      <c r="D162" t="s">
        <v>1337</v>
      </c>
    </row>
    <row r="163" spans="1:4" x14ac:dyDescent="0.25">
      <c r="A163" t="s">
        <v>1340</v>
      </c>
      <c r="B163" t="s">
        <v>1341</v>
      </c>
      <c r="C163" t="s">
        <v>1336</v>
      </c>
      <c r="D163" t="s">
        <v>1337</v>
      </c>
    </row>
    <row r="164" spans="1:4" x14ac:dyDescent="0.25">
      <c r="A164" t="s">
        <v>1342</v>
      </c>
      <c r="B164" t="s">
        <v>1343</v>
      </c>
      <c r="C164" t="s">
        <v>1336</v>
      </c>
      <c r="D164" t="s">
        <v>1337</v>
      </c>
    </row>
    <row r="165" spans="1:4" x14ac:dyDescent="0.25">
      <c r="A165" t="s">
        <v>1344</v>
      </c>
      <c r="B165" t="s">
        <v>1345</v>
      </c>
      <c r="C165" t="s">
        <v>1336</v>
      </c>
      <c r="D165" t="s">
        <v>1337</v>
      </c>
    </row>
    <row r="166" spans="1:4" x14ac:dyDescent="0.25">
      <c r="A166" t="s">
        <v>1346</v>
      </c>
      <c r="B166" t="s">
        <v>1347</v>
      </c>
      <c r="C166" t="s">
        <v>1336</v>
      </c>
      <c r="D166" t="s">
        <v>1337</v>
      </c>
    </row>
    <row r="167" spans="1:4" x14ac:dyDescent="0.25">
      <c r="A167" t="s">
        <v>1348</v>
      </c>
      <c r="B167" t="s">
        <v>1349</v>
      </c>
      <c r="C167" t="s">
        <v>1336</v>
      </c>
      <c r="D167" t="s">
        <v>1337</v>
      </c>
    </row>
    <row r="168" spans="1:4" x14ac:dyDescent="0.25">
      <c r="A168" t="s">
        <v>1350</v>
      </c>
      <c r="B168" t="s">
        <v>1351</v>
      </c>
      <c r="C168" t="s">
        <v>1336</v>
      </c>
      <c r="D168" t="s">
        <v>1337</v>
      </c>
    </row>
    <row r="169" spans="1:4" x14ac:dyDescent="0.25">
      <c r="A169" t="s">
        <v>1356</v>
      </c>
      <c r="B169" t="s">
        <v>1355</v>
      </c>
      <c r="C169" t="s">
        <v>1354</v>
      </c>
      <c r="D169" t="s">
        <v>1355</v>
      </c>
    </row>
    <row r="170" spans="1:4" x14ac:dyDescent="0.25">
      <c r="A170" t="s">
        <v>1359</v>
      </c>
      <c r="B170" t="s">
        <v>1358</v>
      </c>
      <c r="C170" t="s">
        <v>1357</v>
      </c>
      <c r="D170" t="s">
        <v>1358</v>
      </c>
    </row>
    <row r="171" spans="1:4" x14ac:dyDescent="0.25">
      <c r="A171" t="s">
        <v>1362</v>
      </c>
      <c r="B171" t="s">
        <v>1361</v>
      </c>
      <c r="C171" t="s">
        <v>1360</v>
      </c>
      <c r="D171" t="s">
        <v>1361</v>
      </c>
    </row>
    <row r="172" spans="1:4" x14ac:dyDescent="0.25">
      <c r="A172" t="s">
        <v>1367</v>
      </c>
      <c r="B172" t="s">
        <v>1368</v>
      </c>
      <c r="C172" t="s">
        <v>1365</v>
      </c>
      <c r="D172" t="s">
        <v>1366</v>
      </c>
    </row>
    <row r="173" spans="1:4" x14ac:dyDescent="0.25">
      <c r="A173" t="s">
        <v>1369</v>
      </c>
      <c r="B173" t="s">
        <v>1370</v>
      </c>
      <c r="C173" t="s">
        <v>1365</v>
      </c>
      <c r="D173" t="s">
        <v>1366</v>
      </c>
    </row>
    <row r="174" spans="1:4" x14ac:dyDescent="0.25">
      <c r="A174" t="s">
        <v>1373</v>
      </c>
      <c r="B174" t="s">
        <v>1372</v>
      </c>
      <c r="C174" t="s">
        <v>1371</v>
      </c>
      <c r="D174" t="s">
        <v>1372</v>
      </c>
    </row>
    <row r="175" spans="1:4" x14ac:dyDescent="0.25">
      <c r="A175" t="s">
        <v>1376</v>
      </c>
      <c r="B175" t="s">
        <v>1375</v>
      </c>
      <c r="C175" t="s">
        <v>1374</v>
      </c>
      <c r="D175" t="s">
        <v>1375</v>
      </c>
    </row>
    <row r="176" spans="1:4" x14ac:dyDescent="0.25">
      <c r="A176" t="s">
        <v>1379</v>
      </c>
      <c r="B176" t="s">
        <v>1378</v>
      </c>
      <c r="C176" t="s">
        <v>1377</v>
      </c>
      <c r="D176" t="s">
        <v>1378</v>
      </c>
    </row>
    <row r="177" spans="1:4" x14ac:dyDescent="0.25">
      <c r="A177" t="s">
        <v>1382</v>
      </c>
      <c r="B177" t="s">
        <v>1383</v>
      </c>
      <c r="C177" t="s">
        <v>1380</v>
      </c>
      <c r="D177" t="s">
        <v>1381</v>
      </c>
    </row>
    <row r="178" spans="1:4" x14ac:dyDescent="0.25">
      <c r="A178" t="s">
        <v>1384</v>
      </c>
      <c r="B178" t="s">
        <v>1385</v>
      </c>
      <c r="C178" t="s">
        <v>1380</v>
      </c>
      <c r="D178" t="s">
        <v>1381</v>
      </c>
    </row>
    <row r="179" spans="1:4" x14ac:dyDescent="0.25">
      <c r="A179" t="s">
        <v>1386</v>
      </c>
      <c r="B179" t="s">
        <v>1387</v>
      </c>
      <c r="C179" t="s">
        <v>1380</v>
      </c>
      <c r="D179" t="s">
        <v>1381</v>
      </c>
    </row>
    <row r="180" spans="1:4" x14ac:dyDescent="0.25">
      <c r="A180" t="s">
        <v>1391</v>
      </c>
      <c r="B180" t="s">
        <v>1392</v>
      </c>
      <c r="C180" t="s">
        <v>1390</v>
      </c>
      <c r="D180" t="s">
        <v>1389</v>
      </c>
    </row>
    <row r="181" spans="1:4" x14ac:dyDescent="0.25">
      <c r="A181" t="s">
        <v>1393</v>
      </c>
      <c r="B181" t="s">
        <v>1394</v>
      </c>
      <c r="C181" t="s">
        <v>1390</v>
      </c>
      <c r="D181" t="s">
        <v>1389</v>
      </c>
    </row>
    <row r="182" spans="1:4" x14ac:dyDescent="0.25">
      <c r="A182" t="s">
        <v>1399</v>
      </c>
      <c r="B182" t="s">
        <v>1400</v>
      </c>
      <c r="C182" t="s">
        <v>1397</v>
      </c>
      <c r="D182" t="s">
        <v>1398</v>
      </c>
    </row>
    <row r="183" spans="1:4" x14ac:dyDescent="0.25">
      <c r="A183" t="s">
        <v>1401</v>
      </c>
      <c r="B183" t="s">
        <v>1402</v>
      </c>
      <c r="C183" t="s">
        <v>1397</v>
      </c>
      <c r="D183" t="s">
        <v>1398</v>
      </c>
    </row>
    <row r="184" spans="1:4" x14ac:dyDescent="0.25">
      <c r="A184" t="s">
        <v>1405</v>
      </c>
      <c r="B184" t="s">
        <v>1404</v>
      </c>
      <c r="C184" t="s">
        <v>1403</v>
      </c>
      <c r="D184" t="s">
        <v>1404</v>
      </c>
    </row>
    <row r="185" spans="1:4" x14ac:dyDescent="0.25">
      <c r="A185" t="s">
        <v>1408</v>
      </c>
      <c r="B185" t="s">
        <v>1407</v>
      </c>
      <c r="C185" t="s">
        <v>1406</v>
      </c>
      <c r="D185" t="s">
        <v>1407</v>
      </c>
    </row>
    <row r="186" spans="1:4" x14ac:dyDescent="0.25">
      <c r="A186" t="s">
        <v>1411</v>
      </c>
      <c r="B186" t="s">
        <v>1410</v>
      </c>
      <c r="C186" t="s">
        <v>1409</v>
      </c>
      <c r="D186" t="s">
        <v>1410</v>
      </c>
    </row>
    <row r="187" spans="1:4" x14ac:dyDescent="0.25">
      <c r="A187" t="s">
        <v>1414</v>
      </c>
      <c r="B187" t="s">
        <v>1413</v>
      </c>
      <c r="C187" t="s">
        <v>1412</v>
      </c>
      <c r="D187" t="s">
        <v>1413</v>
      </c>
    </row>
    <row r="188" spans="1:4" x14ac:dyDescent="0.25">
      <c r="A188" t="s">
        <v>1417</v>
      </c>
      <c r="B188" t="s">
        <v>1416</v>
      </c>
      <c r="C188" t="s">
        <v>1415</v>
      </c>
      <c r="D188" t="s">
        <v>1416</v>
      </c>
    </row>
    <row r="189" spans="1:4" x14ac:dyDescent="0.25">
      <c r="A189" t="s">
        <v>1422</v>
      </c>
      <c r="B189" t="s">
        <v>1423</v>
      </c>
      <c r="C189" t="s">
        <v>1420</v>
      </c>
      <c r="D189" t="s">
        <v>1421</v>
      </c>
    </row>
    <row r="190" spans="1:4" x14ac:dyDescent="0.25">
      <c r="A190" t="s">
        <v>1424</v>
      </c>
      <c r="B190" t="s">
        <v>1425</v>
      </c>
      <c r="C190" t="s">
        <v>1420</v>
      </c>
      <c r="D190" t="s">
        <v>1421</v>
      </c>
    </row>
    <row r="191" spans="1:4" x14ac:dyDescent="0.25">
      <c r="A191" t="s">
        <v>1426</v>
      </c>
      <c r="B191" t="s">
        <v>1427</v>
      </c>
      <c r="C191" t="s">
        <v>1420</v>
      </c>
      <c r="D191" t="s">
        <v>1421</v>
      </c>
    </row>
    <row r="192" spans="1:4" x14ac:dyDescent="0.25">
      <c r="A192" t="s">
        <v>1428</v>
      </c>
      <c r="B192" t="s">
        <v>1429</v>
      </c>
      <c r="C192" t="s">
        <v>1420</v>
      </c>
      <c r="D192" t="s">
        <v>1421</v>
      </c>
    </row>
    <row r="193" spans="1:4" x14ac:dyDescent="0.25">
      <c r="A193" t="s">
        <v>1430</v>
      </c>
      <c r="B193" t="s">
        <v>1431</v>
      </c>
      <c r="C193" t="s">
        <v>1420</v>
      </c>
      <c r="D193" t="s">
        <v>1421</v>
      </c>
    </row>
    <row r="194" spans="1:4" x14ac:dyDescent="0.25">
      <c r="A194" t="s">
        <v>1432</v>
      </c>
      <c r="B194" t="s">
        <v>1433</v>
      </c>
      <c r="C194" t="s">
        <v>1420</v>
      </c>
      <c r="D194" t="s">
        <v>1421</v>
      </c>
    </row>
    <row r="195" spans="1:4" x14ac:dyDescent="0.25">
      <c r="A195" t="s">
        <v>1436</v>
      </c>
      <c r="B195" t="s">
        <v>1435</v>
      </c>
      <c r="C195" t="s">
        <v>1434</v>
      </c>
      <c r="D195" t="s">
        <v>1435</v>
      </c>
    </row>
    <row r="196" spans="1:4" x14ac:dyDescent="0.25">
      <c r="A196" t="s">
        <v>1442</v>
      </c>
      <c r="B196" t="s">
        <v>1443</v>
      </c>
      <c r="C196" t="s">
        <v>1440</v>
      </c>
      <c r="D196" t="s">
        <v>1441</v>
      </c>
    </row>
    <row r="197" spans="1:4" x14ac:dyDescent="0.25">
      <c r="A197" t="s">
        <v>1444</v>
      </c>
      <c r="B197" t="s">
        <v>1445</v>
      </c>
      <c r="C197" t="s">
        <v>1440</v>
      </c>
      <c r="D197" t="s">
        <v>1441</v>
      </c>
    </row>
    <row r="198" spans="1:4" x14ac:dyDescent="0.25">
      <c r="A198" t="s">
        <v>1446</v>
      </c>
      <c r="B198" t="s">
        <v>1447</v>
      </c>
      <c r="C198" t="s">
        <v>1440</v>
      </c>
      <c r="D198" t="s">
        <v>1441</v>
      </c>
    </row>
    <row r="199" spans="1:4" x14ac:dyDescent="0.25">
      <c r="A199" t="s">
        <v>1450</v>
      </c>
      <c r="B199" t="s">
        <v>1449</v>
      </c>
      <c r="C199" t="s">
        <v>1448</v>
      </c>
      <c r="D199" t="s">
        <v>1449</v>
      </c>
    </row>
    <row r="200" spans="1:4" x14ac:dyDescent="0.25">
      <c r="A200" t="s">
        <v>1453</v>
      </c>
      <c r="B200" t="s">
        <v>1452</v>
      </c>
      <c r="C200" t="s">
        <v>1451</v>
      </c>
      <c r="D200" t="s">
        <v>1452</v>
      </c>
    </row>
    <row r="201" spans="1:4" x14ac:dyDescent="0.25">
      <c r="A201" t="s">
        <v>1456</v>
      </c>
      <c r="B201" t="s">
        <v>1455</v>
      </c>
      <c r="C201" t="s">
        <v>1454</v>
      </c>
      <c r="D201" t="s">
        <v>1455</v>
      </c>
    </row>
    <row r="202" spans="1:4" x14ac:dyDescent="0.25">
      <c r="A202" t="s">
        <v>1462</v>
      </c>
      <c r="B202" t="s">
        <v>1460</v>
      </c>
      <c r="C202" t="s">
        <v>1461</v>
      </c>
      <c r="D202" t="s">
        <v>1460</v>
      </c>
    </row>
    <row r="203" spans="1:4" x14ac:dyDescent="0.25">
      <c r="A203" t="s">
        <v>1466</v>
      </c>
      <c r="B203" t="s">
        <v>1464</v>
      </c>
      <c r="C203" t="s">
        <v>1465</v>
      </c>
      <c r="D203" t="s">
        <v>1464</v>
      </c>
    </row>
    <row r="204" spans="1:4" x14ac:dyDescent="0.25">
      <c r="A204" t="s">
        <v>1471</v>
      </c>
      <c r="B204" t="s">
        <v>1472</v>
      </c>
      <c r="C204" t="s">
        <v>1469</v>
      </c>
      <c r="D204" t="s">
        <v>1470</v>
      </c>
    </row>
    <row r="205" spans="1:4" x14ac:dyDescent="0.25">
      <c r="A205" t="s">
        <v>1473</v>
      </c>
      <c r="B205" t="s">
        <v>1474</v>
      </c>
      <c r="C205" t="s">
        <v>1469</v>
      </c>
      <c r="D205" t="s">
        <v>1470</v>
      </c>
    </row>
    <row r="206" spans="1:4" x14ac:dyDescent="0.25">
      <c r="A206" t="s">
        <v>1477</v>
      </c>
      <c r="B206" t="s">
        <v>1478</v>
      </c>
      <c r="C206" t="s">
        <v>1475</v>
      </c>
      <c r="D206" t="s">
        <v>1476</v>
      </c>
    </row>
    <row r="207" spans="1:4" x14ac:dyDescent="0.25">
      <c r="A207" t="s">
        <v>1479</v>
      </c>
      <c r="B207" t="s">
        <v>1480</v>
      </c>
      <c r="C207" t="s">
        <v>1475</v>
      </c>
      <c r="D207" t="s">
        <v>1476</v>
      </c>
    </row>
    <row r="208" spans="1:4" x14ac:dyDescent="0.25">
      <c r="A208" t="s">
        <v>1483</v>
      </c>
      <c r="B208" t="s">
        <v>1482</v>
      </c>
      <c r="C208" t="s">
        <v>1481</v>
      </c>
      <c r="D208" t="s">
        <v>1482</v>
      </c>
    </row>
    <row r="209" spans="1:4" x14ac:dyDescent="0.25">
      <c r="A209" t="s">
        <v>1487</v>
      </c>
      <c r="B209" t="s">
        <v>1485</v>
      </c>
      <c r="C209" t="s">
        <v>1486</v>
      </c>
      <c r="D209" t="s">
        <v>1485</v>
      </c>
    </row>
    <row r="210" spans="1:4" x14ac:dyDescent="0.25">
      <c r="A210" t="s">
        <v>1493</v>
      </c>
      <c r="B210" t="s">
        <v>1491</v>
      </c>
      <c r="C210" t="s">
        <v>1492</v>
      </c>
      <c r="D210" t="s">
        <v>1491</v>
      </c>
    </row>
    <row r="211" spans="1:4" x14ac:dyDescent="0.25">
      <c r="A211" t="s">
        <v>1498</v>
      </c>
      <c r="B211" t="s">
        <v>1497</v>
      </c>
      <c r="C211" t="s">
        <v>1496</v>
      </c>
      <c r="D211" t="s">
        <v>1497</v>
      </c>
    </row>
    <row r="212" spans="1:4" x14ac:dyDescent="0.25">
      <c r="A212" t="s">
        <v>1501</v>
      </c>
      <c r="B212" t="s">
        <v>1500</v>
      </c>
      <c r="C212" t="s">
        <v>1499</v>
      </c>
      <c r="D212" t="s">
        <v>1500</v>
      </c>
    </row>
    <row r="213" spans="1:4" x14ac:dyDescent="0.25">
      <c r="A213" t="s">
        <v>1504</v>
      </c>
      <c r="B213" t="s">
        <v>1503</v>
      </c>
      <c r="C213" t="s">
        <v>1502</v>
      </c>
      <c r="D213" t="s">
        <v>1503</v>
      </c>
    </row>
    <row r="214" spans="1:4" x14ac:dyDescent="0.25">
      <c r="A214" t="s">
        <v>1509</v>
      </c>
      <c r="B214" t="s">
        <v>1510</v>
      </c>
      <c r="C214" t="s">
        <v>1507</v>
      </c>
      <c r="D214" t="s">
        <v>1508</v>
      </c>
    </row>
    <row r="215" spans="1:4" x14ac:dyDescent="0.25">
      <c r="A215" t="s">
        <v>1511</v>
      </c>
      <c r="B215" t="s">
        <v>1512</v>
      </c>
      <c r="C215" t="s">
        <v>1507</v>
      </c>
      <c r="D215" t="s">
        <v>1508</v>
      </c>
    </row>
    <row r="216" spans="1:4" x14ac:dyDescent="0.25">
      <c r="A216" t="s">
        <v>1515</v>
      </c>
      <c r="B216" t="s">
        <v>1516</v>
      </c>
      <c r="C216" t="s">
        <v>1513</v>
      </c>
      <c r="D216" t="s">
        <v>1514</v>
      </c>
    </row>
    <row r="217" spans="1:4" x14ac:dyDescent="0.25">
      <c r="A217" t="s">
        <v>1517</v>
      </c>
      <c r="B217" t="s">
        <v>1518</v>
      </c>
      <c r="C217" t="s">
        <v>1513</v>
      </c>
      <c r="D217" t="s">
        <v>1514</v>
      </c>
    </row>
    <row r="218" spans="1:4" x14ac:dyDescent="0.25">
      <c r="A218" t="s">
        <v>1519</v>
      </c>
      <c r="B218" t="s">
        <v>1520</v>
      </c>
      <c r="C218" t="s">
        <v>1513</v>
      </c>
      <c r="D218" t="s">
        <v>1514</v>
      </c>
    </row>
    <row r="219" spans="1:4" x14ac:dyDescent="0.25">
      <c r="A219" t="s">
        <v>1523</v>
      </c>
      <c r="B219" t="s">
        <v>1522</v>
      </c>
      <c r="C219" t="s">
        <v>1521</v>
      </c>
      <c r="D219" t="s">
        <v>1522</v>
      </c>
    </row>
    <row r="220" spans="1:4" x14ac:dyDescent="0.25">
      <c r="A220" t="s">
        <v>1526</v>
      </c>
      <c r="B220" t="s">
        <v>1525</v>
      </c>
      <c r="C220" t="s">
        <v>1524</v>
      </c>
      <c r="D220" t="s">
        <v>1525</v>
      </c>
    </row>
    <row r="221" spans="1:4" x14ac:dyDescent="0.25">
      <c r="A221" t="s">
        <v>1529</v>
      </c>
      <c r="B221" t="s">
        <v>1528</v>
      </c>
      <c r="C221" t="s">
        <v>1527</v>
      </c>
      <c r="D221" t="s">
        <v>1528</v>
      </c>
    </row>
    <row r="222" spans="1:4" x14ac:dyDescent="0.25">
      <c r="A222" t="s">
        <v>1536</v>
      </c>
      <c r="B222" t="s">
        <v>1535</v>
      </c>
      <c r="C222" t="s">
        <v>1534</v>
      </c>
      <c r="D222" t="s">
        <v>1535</v>
      </c>
    </row>
    <row r="223" spans="1:4" x14ac:dyDescent="0.25">
      <c r="A223" t="s">
        <v>1539</v>
      </c>
      <c r="B223" t="s">
        <v>1538</v>
      </c>
      <c r="C223" t="s">
        <v>1537</v>
      </c>
      <c r="D223" t="s">
        <v>1538</v>
      </c>
    </row>
    <row r="224" spans="1:4" x14ac:dyDescent="0.25">
      <c r="A224" t="s">
        <v>1542</v>
      </c>
      <c r="B224" t="s">
        <v>1541</v>
      </c>
      <c r="C224" t="s">
        <v>1540</v>
      </c>
      <c r="D224" t="s">
        <v>1541</v>
      </c>
    </row>
    <row r="225" spans="1:4" x14ac:dyDescent="0.25">
      <c r="A225" t="s">
        <v>1545</v>
      </c>
      <c r="B225" t="s">
        <v>1546</v>
      </c>
      <c r="C225" t="s">
        <v>1543</v>
      </c>
      <c r="D225" t="s">
        <v>1544</v>
      </c>
    </row>
    <row r="226" spans="1:4" x14ac:dyDescent="0.25">
      <c r="A226" t="s">
        <v>1547</v>
      </c>
      <c r="B226" t="s">
        <v>1548</v>
      </c>
      <c r="C226" t="s">
        <v>1543</v>
      </c>
      <c r="D226" t="s">
        <v>1544</v>
      </c>
    </row>
    <row r="227" spans="1:4" x14ac:dyDescent="0.25">
      <c r="A227" t="s">
        <v>1549</v>
      </c>
      <c r="B227" t="s">
        <v>1550</v>
      </c>
      <c r="C227" t="s">
        <v>1543</v>
      </c>
      <c r="D227" t="s">
        <v>1544</v>
      </c>
    </row>
    <row r="228" spans="1:4" x14ac:dyDescent="0.25">
      <c r="A228" t="s">
        <v>1553</v>
      </c>
      <c r="B228" t="s">
        <v>1554</v>
      </c>
      <c r="C228" t="s">
        <v>1551</v>
      </c>
      <c r="D228" t="s">
        <v>1552</v>
      </c>
    </row>
    <row r="229" spans="1:4" x14ac:dyDescent="0.25">
      <c r="A229" t="s">
        <v>1555</v>
      </c>
      <c r="B229" t="s">
        <v>1556</v>
      </c>
      <c r="C229" t="s">
        <v>1551</v>
      </c>
      <c r="D229" t="s">
        <v>1552</v>
      </c>
    </row>
    <row r="230" spans="1:4" x14ac:dyDescent="0.25">
      <c r="A230" t="s">
        <v>1557</v>
      </c>
      <c r="B230" t="s">
        <v>1558</v>
      </c>
      <c r="C230" t="s">
        <v>1551</v>
      </c>
      <c r="D230" t="s">
        <v>1552</v>
      </c>
    </row>
    <row r="231" spans="1:4" x14ac:dyDescent="0.25">
      <c r="A231" t="s">
        <v>1559</v>
      </c>
      <c r="B231" t="s">
        <v>1560</v>
      </c>
      <c r="C231" t="s">
        <v>1551</v>
      </c>
      <c r="D231" t="s">
        <v>1552</v>
      </c>
    </row>
    <row r="232" spans="1:4" x14ac:dyDescent="0.25">
      <c r="A232" t="s">
        <v>1563</v>
      </c>
      <c r="B232" t="s">
        <v>1564</v>
      </c>
      <c r="C232" t="s">
        <v>1561</v>
      </c>
      <c r="D232" t="s">
        <v>1562</v>
      </c>
    </row>
    <row r="233" spans="1:4" x14ac:dyDescent="0.25">
      <c r="A233" t="s">
        <v>1565</v>
      </c>
      <c r="B233" t="s">
        <v>1566</v>
      </c>
      <c r="C233" t="s">
        <v>1561</v>
      </c>
      <c r="D233" t="s">
        <v>1562</v>
      </c>
    </row>
    <row r="234" spans="1:4" x14ac:dyDescent="0.25">
      <c r="A234" t="s">
        <v>1567</v>
      </c>
      <c r="B234" t="s">
        <v>1568</v>
      </c>
      <c r="C234" t="s">
        <v>1561</v>
      </c>
      <c r="D234" t="s">
        <v>1562</v>
      </c>
    </row>
    <row r="235" spans="1:4" x14ac:dyDescent="0.25">
      <c r="A235" t="s">
        <v>1571</v>
      </c>
      <c r="B235" t="s">
        <v>1572</v>
      </c>
      <c r="C235" t="s">
        <v>1569</v>
      </c>
      <c r="D235" t="s">
        <v>1570</v>
      </c>
    </row>
    <row r="236" spans="1:4" x14ac:dyDescent="0.25">
      <c r="A236" t="s">
        <v>1573</v>
      </c>
      <c r="B236" t="s">
        <v>1574</v>
      </c>
      <c r="C236" t="s">
        <v>1569</v>
      </c>
      <c r="D236" t="s">
        <v>1570</v>
      </c>
    </row>
    <row r="237" spans="1:4" x14ac:dyDescent="0.25">
      <c r="A237" t="s">
        <v>1575</v>
      </c>
      <c r="B237" t="s">
        <v>1576</v>
      </c>
      <c r="C237" t="s">
        <v>1569</v>
      </c>
      <c r="D237" t="s">
        <v>1570</v>
      </c>
    </row>
    <row r="238" spans="1:4" x14ac:dyDescent="0.25">
      <c r="A238" t="s">
        <v>1577</v>
      </c>
      <c r="B238" t="s">
        <v>1578</v>
      </c>
      <c r="C238" t="s">
        <v>1569</v>
      </c>
      <c r="D238" t="s">
        <v>1570</v>
      </c>
    </row>
    <row r="239" spans="1:4" x14ac:dyDescent="0.25">
      <c r="A239" t="s">
        <v>1581</v>
      </c>
      <c r="B239" t="s">
        <v>1580</v>
      </c>
      <c r="C239" t="s">
        <v>1579</v>
      </c>
      <c r="D239" t="s">
        <v>1580</v>
      </c>
    </row>
    <row r="240" spans="1:4" x14ac:dyDescent="0.25">
      <c r="A240" t="s">
        <v>1586</v>
      </c>
      <c r="B240" t="s">
        <v>1587</v>
      </c>
      <c r="C240" t="s">
        <v>1584</v>
      </c>
      <c r="D240" t="s">
        <v>1585</v>
      </c>
    </row>
    <row r="241" spans="1:4" x14ac:dyDescent="0.25">
      <c r="A241" t="s">
        <v>1588</v>
      </c>
      <c r="B241" t="s">
        <v>1589</v>
      </c>
      <c r="C241" t="s">
        <v>1584</v>
      </c>
      <c r="D241" t="s">
        <v>1585</v>
      </c>
    </row>
    <row r="242" spans="1:4" x14ac:dyDescent="0.25">
      <c r="A242" t="s">
        <v>1592</v>
      </c>
      <c r="B242" t="s">
        <v>1593</v>
      </c>
      <c r="C242" t="s">
        <v>1590</v>
      </c>
      <c r="D242" t="s">
        <v>1591</v>
      </c>
    </row>
    <row r="243" spans="1:4" x14ac:dyDescent="0.25">
      <c r="A243" t="s">
        <v>1594</v>
      </c>
      <c r="B243" t="s">
        <v>1595</v>
      </c>
      <c r="C243" t="s">
        <v>1590</v>
      </c>
      <c r="D243" t="s">
        <v>1591</v>
      </c>
    </row>
    <row r="244" spans="1:4" x14ac:dyDescent="0.25">
      <c r="A244" t="s">
        <v>1596</v>
      </c>
      <c r="B244" t="s">
        <v>1597</v>
      </c>
      <c r="C244" t="s">
        <v>1590</v>
      </c>
      <c r="D244" t="s">
        <v>1591</v>
      </c>
    </row>
    <row r="245" spans="1:4" x14ac:dyDescent="0.25">
      <c r="A245" t="s">
        <v>1600</v>
      </c>
      <c r="B245" t="s">
        <v>1599</v>
      </c>
      <c r="C245" t="s">
        <v>1598</v>
      </c>
      <c r="D245" t="s">
        <v>1599</v>
      </c>
    </row>
    <row r="246" spans="1:4" x14ac:dyDescent="0.25">
      <c r="A246" t="s">
        <v>1603</v>
      </c>
      <c r="B246" t="s">
        <v>1602</v>
      </c>
      <c r="C246" t="s">
        <v>1601</v>
      </c>
      <c r="D246" t="s">
        <v>1602</v>
      </c>
    </row>
    <row r="247" spans="1:4" x14ac:dyDescent="0.25">
      <c r="A247" t="s">
        <v>1606</v>
      </c>
      <c r="B247" t="s">
        <v>1607</v>
      </c>
      <c r="C247" t="s">
        <v>1604</v>
      </c>
      <c r="D247" t="s">
        <v>1605</v>
      </c>
    </row>
    <row r="248" spans="1:4" x14ac:dyDescent="0.25">
      <c r="A248" t="s">
        <v>1608</v>
      </c>
      <c r="B248" t="s">
        <v>1609</v>
      </c>
      <c r="C248" t="s">
        <v>1604</v>
      </c>
      <c r="D248" t="s">
        <v>1605</v>
      </c>
    </row>
    <row r="249" spans="1:4" x14ac:dyDescent="0.25">
      <c r="A249" t="s">
        <v>1610</v>
      </c>
      <c r="B249" t="s">
        <v>1611</v>
      </c>
      <c r="C249" t="s">
        <v>1604</v>
      </c>
      <c r="D249" t="s">
        <v>1605</v>
      </c>
    </row>
    <row r="250" spans="1:4" x14ac:dyDescent="0.25">
      <c r="A250" t="s">
        <v>1612</v>
      </c>
      <c r="B250" t="s">
        <v>1613</v>
      </c>
      <c r="C250" t="s">
        <v>1604</v>
      </c>
      <c r="D250" t="s">
        <v>1605</v>
      </c>
    </row>
    <row r="251" spans="1:4" x14ac:dyDescent="0.25">
      <c r="A251" t="s">
        <v>1616</v>
      </c>
      <c r="B251" t="s">
        <v>1617</v>
      </c>
      <c r="C251" t="s">
        <v>1614</v>
      </c>
      <c r="D251" t="s">
        <v>1615</v>
      </c>
    </row>
    <row r="252" spans="1:4" x14ac:dyDescent="0.25">
      <c r="A252" t="s">
        <v>1618</v>
      </c>
      <c r="B252" t="s">
        <v>1619</v>
      </c>
      <c r="C252" t="s">
        <v>1614</v>
      </c>
      <c r="D252" t="s">
        <v>1615</v>
      </c>
    </row>
    <row r="253" spans="1:4" x14ac:dyDescent="0.25">
      <c r="A253" t="s">
        <v>1620</v>
      </c>
      <c r="B253" t="s">
        <v>1621</v>
      </c>
      <c r="C253" t="s">
        <v>1614</v>
      </c>
      <c r="D253" t="s">
        <v>1615</v>
      </c>
    </row>
    <row r="254" spans="1:4" x14ac:dyDescent="0.25">
      <c r="A254" t="s">
        <v>1622</v>
      </c>
      <c r="B254" t="s">
        <v>1623</v>
      </c>
      <c r="C254" t="s">
        <v>1614</v>
      </c>
      <c r="D254" t="s">
        <v>1615</v>
      </c>
    </row>
    <row r="255" spans="1:4" x14ac:dyDescent="0.25">
      <c r="A255" t="s">
        <v>1626</v>
      </c>
      <c r="B255" t="s">
        <v>1627</v>
      </c>
      <c r="C255" t="s">
        <v>1624</v>
      </c>
      <c r="D255" t="s">
        <v>1625</v>
      </c>
    </row>
    <row r="256" spans="1:4" x14ac:dyDescent="0.25">
      <c r="A256" t="s">
        <v>1628</v>
      </c>
      <c r="B256" t="s">
        <v>1629</v>
      </c>
      <c r="C256" t="s">
        <v>1624</v>
      </c>
      <c r="D256" t="s">
        <v>1625</v>
      </c>
    </row>
    <row r="257" spans="1:4" x14ac:dyDescent="0.25">
      <c r="A257" t="s">
        <v>1630</v>
      </c>
      <c r="B257" t="s">
        <v>1631</v>
      </c>
      <c r="C257" t="s">
        <v>1624</v>
      </c>
      <c r="D257" t="s">
        <v>1625</v>
      </c>
    </row>
    <row r="258" spans="1:4" x14ac:dyDescent="0.25">
      <c r="A258" t="s">
        <v>1632</v>
      </c>
      <c r="B258" t="s">
        <v>1633</v>
      </c>
      <c r="C258" t="s">
        <v>1624</v>
      </c>
      <c r="D258" t="s">
        <v>1625</v>
      </c>
    </row>
    <row r="259" spans="1:4" x14ac:dyDescent="0.25">
      <c r="A259" t="s">
        <v>1636</v>
      </c>
      <c r="B259" t="s">
        <v>1637</v>
      </c>
      <c r="C259" t="s">
        <v>1634</v>
      </c>
      <c r="D259" t="s">
        <v>1635</v>
      </c>
    </row>
    <row r="260" spans="1:4" x14ac:dyDescent="0.25">
      <c r="A260" t="s">
        <v>1638</v>
      </c>
      <c r="B260" t="s">
        <v>1639</v>
      </c>
      <c r="C260" t="s">
        <v>1634</v>
      </c>
      <c r="D260" t="s">
        <v>1635</v>
      </c>
    </row>
    <row r="261" spans="1:4" x14ac:dyDescent="0.25">
      <c r="A261" t="s">
        <v>1640</v>
      </c>
      <c r="B261" t="s">
        <v>1641</v>
      </c>
      <c r="C261" t="s">
        <v>1634</v>
      </c>
      <c r="D261" t="s">
        <v>1635</v>
      </c>
    </row>
    <row r="262" spans="1:4" x14ac:dyDescent="0.25">
      <c r="A262" t="s">
        <v>1644</v>
      </c>
      <c r="B262" t="s">
        <v>1643</v>
      </c>
      <c r="C262" t="s">
        <v>1642</v>
      </c>
      <c r="D262" t="s">
        <v>1643</v>
      </c>
    </row>
    <row r="263" spans="1:4" x14ac:dyDescent="0.25">
      <c r="A263" t="s">
        <v>1651</v>
      </c>
      <c r="B263" t="s">
        <v>1652</v>
      </c>
      <c r="C263" t="s">
        <v>1649</v>
      </c>
      <c r="D263" t="s">
        <v>1650</v>
      </c>
    </row>
    <row r="264" spans="1:4" x14ac:dyDescent="0.25">
      <c r="A264" t="s">
        <v>1653</v>
      </c>
      <c r="B264" t="s">
        <v>1654</v>
      </c>
      <c r="C264" t="s">
        <v>1649</v>
      </c>
      <c r="D264" t="s">
        <v>1650</v>
      </c>
    </row>
    <row r="265" spans="1:4" x14ac:dyDescent="0.25">
      <c r="A265" t="s">
        <v>1657</v>
      </c>
      <c r="B265" t="s">
        <v>1658</v>
      </c>
      <c r="C265" t="s">
        <v>1655</v>
      </c>
      <c r="D265" t="s">
        <v>1656</v>
      </c>
    </row>
    <row r="266" spans="1:4" x14ac:dyDescent="0.25">
      <c r="A266" t="s">
        <v>1659</v>
      </c>
      <c r="B266" t="s">
        <v>1660</v>
      </c>
      <c r="C266" t="s">
        <v>1655</v>
      </c>
      <c r="D266" t="s">
        <v>1656</v>
      </c>
    </row>
    <row r="267" spans="1:4" x14ac:dyDescent="0.25">
      <c r="A267" t="s">
        <v>1661</v>
      </c>
      <c r="B267" t="s">
        <v>1662</v>
      </c>
      <c r="C267" t="s">
        <v>1655</v>
      </c>
      <c r="D267" t="s">
        <v>1656</v>
      </c>
    </row>
    <row r="268" spans="1:4" x14ac:dyDescent="0.25">
      <c r="A268" t="s">
        <v>1665</v>
      </c>
      <c r="B268" t="s">
        <v>1664</v>
      </c>
      <c r="C268" t="s">
        <v>1663</v>
      </c>
      <c r="D268" t="s">
        <v>1664</v>
      </c>
    </row>
    <row r="269" spans="1:4" x14ac:dyDescent="0.25">
      <c r="A269" t="s">
        <v>1670</v>
      </c>
      <c r="B269" t="s">
        <v>1671</v>
      </c>
      <c r="C269" t="s">
        <v>1668</v>
      </c>
      <c r="D269" t="s">
        <v>1669</v>
      </c>
    </row>
    <row r="270" spans="1:4" x14ac:dyDescent="0.25">
      <c r="A270" t="s">
        <v>1672</v>
      </c>
      <c r="B270" t="s">
        <v>1673</v>
      </c>
      <c r="C270" t="s">
        <v>1668</v>
      </c>
      <c r="D270" t="s">
        <v>1669</v>
      </c>
    </row>
    <row r="271" spans="1:4" x14ac:dyDescent="0.25">
      <c r="A271" t="s">
        <v>1676</v>
      </c>
      <c r="B271" t="s">
        <v>1677</v>
      </c>
      <c r="C271" t="s">
        <v>1674</v>
      </c>
      <c r="D271" t="s">
        <v>1675</v>
      </c>
    </row>
    <row r="272" spans="1:4" x14ac:dyDescent="0.25">
      <c r="A272" t="s">
        <v>1678</v>
      </c>
      <c r="B272" t="s">
        <v>1679</v>
      </c>
      <c r="C272" t="s">
        <v>1674</v>
      </c>
      <c r="D272" t="s">
        <v>1675</v>
      </c>
    </row>
    <row r="273" spans="1:4" x14ac:dyDescent="0.25">
      <c r="A273" t="s">
        <v>1684</v>
      </c>
      <c r="B273" t="s">
        <v>1683</v>
      </c>
      <c r="C273" t="s">
        <v>1682</v>
      </c>
      <c r="D273" t="s">
        <v>1683</v>
      </c>
    </row>
    <row r="274" spans="1:4" x14ac:dyDescent="0.25">
      <c r="A274" t="s">
        <v>1687</v>
      </c>
      <c r="B274" t="s">
        <v>1686</v>
      </c>
      <c r="C274" t="s">
        <v>1685</v>
      </c>
      <c r="D274" t="s">
        <v>1686</v>
      </c>
    </row>
    <row r="275" spans="1:4" x14ac:dyDescent="0.25">
      <c r="A275" t="s">
        <v>1692</v>
      </c>
      <c r="B275" t="s">
        <v>1691</v>
      </c>
      <c r="C275" t="s">
        <v>1690</v>
      </c>
      <c r="D275" t="s">
        <v>1691</v>
      </c>
    </row>
    <row r="276" spans="1:4" x14ac:dyDescent="0.25">
      <c r="A276" t="s">
        <v>1695</v>
      </c>
      <c r="B276" t="s">
        <v>1696</v>
      </c>
      <c r="C276" t="s">
        <v>1693</v>
      </c>
      <c r="D276" t="s">
        <v>1694</v>
      </c>
    </row>
    <row r="277" spans="1:4" x14ac:dyDescent="0.25">
      <c r="A277" t="s">
        <v>1697</v>
      </c>
      <c r="B277" t="s">
        <v>1698</v>
      </c>
      <c r="C277" t="s">
        <v>1693</v>
      </c>
      <c r="D277" t="s">
        <v>1694</v>
      </c>
    </row>
    <row r="278" spans="1:4" x14ac:dyDescent="0.25">
      <c r="A278" t="s">
        <v>1699</v>
      </c>
      <c r="B278" t="s">
        <v>1700</v>
      </c>
      <c r="C278" t="s">
        <v>1693</v>
      </c>
      <c r="D278" t="s">
        <v>1694</v>
      </c>
    </row>
    <row r="279" spans="1:4" x14ac:dyDescent="0.25">
      <c r="A279" t="s">
        <v>1701</v>
      </c>
      <c r="B279" t="s">
        <v>1702</v>
      </c>
      <c r="C279" t="s">
        <v>1693</v>
      </c>
      <c r="D279" t="s">
        <v>1694</v>
      </c>
    </row>
    <row r="280" spans="1:4" x14ac:dyDescent="0.25">
      <c r="A280" t="s">
        <v>1703</v>
      </c>
      <c r="B280" t="s">
        <v>1704</v>
      </c>
      <c r="C280" t="s">
        <v>1693</v>
      </c>
      <c r="D280" t="s">
        <v>1694</v>
      </c>
    </row>
    <row r="281" spans="1:4" x14ac:dyDescent="0.25">
      <c r="A281" t="s">
        <v>1707</v>
      </c>
      <c r="B281" t="s">
        <v>1708</v>
      </c>
      <c r="C281" t="s">
        <v>1705</v>
      </c>
      <c r="D281" t="s">
        <v>1706</v>
      </c>
    </row>
    <row r="282" spans="1:4" x14ac:dyDescent="0.25">
      <c r="A282" t="s">
        <v>1709</v>
      </c>
      <c r="B282" t="s">
        <v>1710</v>
      </c>
      <c r="C282" t="s">
        <v>1705</v>
      </c>
      <c r="D282" t="s">
        <v>1706</v>
      </c>
    </row>
    <row r="283" spans="1:4" x14ac:dyDescent="0.25">
      <c r="A283" t="s">
        <v>1715</v>
      </c>
      <c r="B283" t="s">
        <v>1714</v>
      </c>
      <c r="C283" t="s">
        <v>1713</v>
      </c>
      <c r="D283" t="s">
        <v>1714</v>
      </c>
    </row>
    <row r="284" spans="1:4" x14ac:dyDescent="0.25">
      <c r="A284" t="s">
        <v>1718</v>
      </c>
      <c r="B284" t="s">
        <v>1717</v>
      </c>
      <c r="C284" t="s">
        <v>1716</v>
      </c>
      <c r="D284" t="s">
        <v>1717</v>
      </c>
    </row>
    <row r="285" spans="1:4" x14ac:dyDescent="0.25">
      <c r="A285" t="s">
        <v>1721</v>
      </c>
      <c r="B285" t="s">
        <v>1720</v>
      </c>
      <c r="C285" t="s">
        <v>1719</v>
      </c>
      <c r="D285" t="s">
        <v>1720</v>
      </c>
    </row>
    <row r="286" spans="1:4" x14ac:dyDescent="0.25">
      <c r="A286" t="s">
        <v>1728</v>
      </c>
      <c r="B286" t="s">
        <v>1727</v>
      </c>
      <c r="C286" t="s">
        <v>1726</v>
      </c>
      <c r="D286" t="s">
        <v>1727</v>
      </c>
    </row>
    <row r="287" spans="1:4" x14ac:dyDescent="0.25">
      <c r="A287" t="s">
        <v>1731</v>
      </c>
      <c r="B287" t="s">
        <v>1730</v>
      </c>
      <c r="C287" t="s">
        <v>1729</v>
      </c>
      <c r="D287" t="s">
        <v>1730</v>
      </c>
    </row>
    <row r="288" spans="1:4" x14ac:dyDescent="0.25">
      <c r="A288" t="s">
        <v>1734</v>
      </c>
      <c r="B288" t="s">
        <v>1733</v>
      </c>
      <c r="C288" t="s">
        <v>1732</v>
      </c>
      <c r="D288" t="s">
        <v>1733</v>
      </c>
    </row>
    <row r="289" spans="1:4" x14ac:dyDescent="0.25">
      <c r="A289" t="s">
        <v>1737</v>
      </c>
      <c r="B289" t="s">
        <v>1736</v>
      </c>
      <c r="C289" t="s">
        <v>1735</v>
      </c>
      <c r="D289" t="s">
        <v>1736</v>
      </c>
    </row>
    <row r="290" spans="1:4" x14ac:dyDescent="0.25">
      <c r="A290" t="s">
        <v>1740</v>
      </c>
      <c r="B290" t="s">
        <v>1739</v>
      </c>
      <c r="C290" t="s">
        <v>1738</v>
      </c>
      <c r="D290" t="s">
        <v>1739</v>
      </c>
    </row>
    <row r="291" spans="1:4" x14ac:dyDescent="0.25">
      <c r="A291" t="s">
        <v>1745</v>
      </c>
      <c r="B291" t="s">
        <v>1744</v>
      </c>
      <c r="C291" t="s">
        <v>1743</v>
      </c>
      <c r="D291" t="s">
        <v>1744</v>
      </c>
    </row>
    <row r="292" spans="1:4" x14ac:dyDescent="0.25">
      <c r="A292" t="s">
        <v>1748</v>
      </c>
      <c r="B292" t="s">
        <v>1749</v>
      </c>
      <c r="C292" t="s">
        <v>1746</v>
      </c>
      <c r="D292" t="s">
        <v>1747</v>
      </c>
    </row>
    <row r="293" spans="1:4" x14ac:dyDescent="0.25">
      <c r="A293" t="s">
        <v>1750</v>
      </c>
      <c r="B293" t="s">
        <v>1751</v>
      </c>
      <c r="C293" t="s">
        <v>1746</v>
      </c>
      <c r="D293" t="s">
        <v>1747</v>
      </c>
    </row>
    <row r="294" spans="1:4" x14ac:dyDescent="0.25">
      <c r="A294" t="s">
        <v>1754</v>
      </c>
      <c r="B294" t="s">
        <v>1753</v>
      </c>
      <c r="C294" t="s">
        <v>1752</v>
      </c>
      <c r="D294" t="s">
        <v>1753</v>
      </c>
    </row>
    <row r="295" spans="1:4" x14ac:dyDescent="0.25">
      <c r="A295" t="s">
        <v>1757</v>
      </c>
      <c r="B295" t="s">
        <v>1756</v>
      </c>
      <c r="C295" t="s">
        <v>1755</v>
      </c>
      <c r="D295" t="s">
        <v>1756</v>
      </c>
    </row>
    <row r="296" spans="1:4" x14ac:dyDescent="0.25">
      <c r="A296" t="s">
        <v>1764</v>
      </c>
      <c r="B296" t="s">
        <v>1765</v>
      </c>
      <c r="C296" t="s">
        <v>1762</v>
      </c>
      <c r="D296" t="s">
        <v>1763</v>
      </c>
    </row>
    <row r="297" spans="1:4" x14ac:dyDescent="0.25">
      <c r="A297" t="s">
        <v>1766</v>
      </c>
      <c r="B297" t="s">
        <v>1767</v>
      </c>
      <c r="C297" t="s">
        <v>1762</v>
      </c>
      <c r="D297" t="s">
        <v>1763</v>
      </c>
    </row>
    <row r="298" spans="1:4" x14ac:dyDescent="0.25">
      <c r="A298" t="s">
        <v>1768</v>
      </c>
      <c r="B298" t="s">
        <v>1769</v>
      </c>
      <c r="C298" t="s">
        <v>1762</v>
      </c>
      <c r="D298" t="s">
        <v>1763</v>
      </c>
    </row>
    <row r="299" spans="1:4" x14ac:dyDescent="0.25">
      <c r="A299" t="s">
        <v>1770</v>
      </c>
      <c r="B299" t="s">
        <v>1771</v>
      </c>
      <c r="C299" t="s">
        <v>1762</v>
      </c>
      <c r="D299" t="s">
        <v>1763</v>
      </c>
    </row>
    <row r="300" spans="1:4" x14ac:dyDescent="0.25">
      <c r="A300" t="s">
        <v>1774</v>
      </c>
      <c r="B300" t="s">
        <v>1775</v>
      </c>
      <c r="C300" t="s">
        <v>1772</v>
      </c>
      <c r="D300" t="s">
        <v>1773</v>
      </c>
    </row>
    <row r="301" spans="1:4" x14ac:dyDescent="0.25">
      <c r="A301" t="s">
        <v>1776</v>
      </c>
      <c r="B301" t="s">
        <v>1777</v>
      </c>
      <c r="C301" t="s">
        <v>1772</v>
      </c>
      <c r="D301" t="s">
        <v>1773</v>
      </c>
    </row>
    <row r="302" spans="1:4" x14ac:dyDescent="0.25">
      <c r="A302" t="s">
        <v>1782</v>
      </c>
      <c r="B302" t="s">
        <v>1783</v>
      </c>
      <c r="C302" t="s">
        <v>1780</v>
      </c>
      <c r="D302" t="s">
        <v>1781</v>
      </c>
    </row>
    <row r="303" spans="1:4" x14ac:dyDescent="0.25">
      <c r="A303" t="s">
        <v>1784</v>
      </c>
      <c r="B303" t="s">
        <v>1785</v>
      </c>
      <c r="C303" t="s">
        <v>1780</v>
      </c>
      <c r="D303" t="s">
        <v>1781</v>
      </c>
    </row>
    <row r="304" spans="1:4" x14ac:dyDescent="0.25">
      <c r="A304" t="s">
        <v>1786</v>
      </c>
      <c r="B304" t="s">
        <v>1787</v>
      </c>
      <c r="C304" t="s">
        <v>1780</v>
      </c>
      <c r="D304" t="s">
        <v>1781</v>
      </c>
    </row>
    <row r="305" spans="1:4" x14ac:dyDescent="0.25">
      <c r="A305" t="s">
        <v>1788</v>
      </c>
      <c r="B305" t="s">
        <v>1789</v>
      </c>
      <c r="C305" t="s">
        <v>1780</v>
      </c>
      <c r="D305" t="s">
        <v>1781</v>
      </c>
    </row>
    <row r="306" spans="1:4" x14ac:dyDescent="0.25">
      <c r="A306" t="s">
        <v>1792</v>
      </c>
      <c r="B306" t="s">
        <v>1791</v>
      </c>
      <c r="C306" t="s">
        <v>1790</v>
      </c>
      <c r="D306" t="s">
        <v>1791</v>
      </c>
    </row>
    <row r="307" spans="1:4" x14ac:dyDescent="0.25">
      <c r="A307" t="s">
        <v>1797</v>
      </c>
      <c r="B307" t="s">
        <v>1796</v>
      </c>
      <c r="C307" t="s">
        <v>1795</v>
      </c>
      <c r="D307" t="s">
        <v>1796</v>
      </c>
    </row>
    <row r="308" spans="1:4" x14ac:dyDescent="0.25">
      <c r="A308" t="s">
        <v>1800</v>
      </c>
      <c r="B308" t="s">
        <v>1799</v>
      </c>
      <c r="C308" t="s">
        <v>1798</v>
      </c>
      <c r="D308" t="s">
        <v>1799</v>
      </c>
    </row>
    <row r="309" spans="1:4" x14ac:dyDescent="0.25">
      <c r="A309" t="s">
        <v>1803</v>
      </c>
      <c r="B309" t="s">
        <v>1804</v>
      </c>
      <c r="C309" t="s">
        <v>1801</v>
      </c>
      <c r="D309" t="s">
        <v>1802</v>
      </c>
    </row>
    <row r="310" spans="1:4" x14ac:dyDescent="0.25">
      <c r="A310" t="s">
        <v>1805</v>
      </c>
      <c r="B310" t="s">
        <v>1806</v>
      </c>
      <c r="C310" t="s">
        <v>1801</v>
      </c>
      <c r="D310" t="s">
        <v>1802</v>
      </c>
    </row>
    <row r="311" spans="1:4" x14ac:dyDescent="0.25">
      <c r="A311" t="s">
        <v>1813</v>
      </c>
      <c r="B311" t="s">
        <v>1812</v>
      </c>
      <c r="C311" t="s">
        <v>1811</v>
      </c>
      <c r="D311" t="s">
        <v>1812</v>
      </c>
    </row>
    <row r="312" spans="1:4" x14ac:dyDescent="0.25">
      <c r="A312" t="s">
        <v>1816</v>
      </c>
      <c r="B312" t="s">
        <v>1815</v>
      </c>
      <c r="C312" t="s">
        <v>1814</v>
      </c>
      <c r="D312" t="s">
        <v>1815</v>
      </c>
    </row>
    <row r="313" spans="1:4" x14ac:dyDescent="0.25">
      <c r="A313" t="s">
        <v>1819</v>
      </c>
      <c r="B313" t="s">
        <v>1818</v>
      </c>
      <c r="C313" t="s">
        <v>1817</v>
      </c>
      <c r="D313" t="s">
        <v>1818</v>
      </c>
    </row>
    <row r="314" spans="1:4" x14ac:dyDescent="0.25">
      <c r="A314" t="s">
        <v>1824</v>
      </c>
      <c r="B314" t="s">
        <v>1825</v>
      </c>
      <c r="C314" t="s">
        <v>1822</v>
      </c>
      <c r="D314" t="s">
        <v>1823</v>
      </c>
    </row>
    <row r="315" spans="1:4" x14ac:dyDescent="0.25">
      <c r="A315" t="s">
        <v>1826</v>
      </c>
      <c r="B315" t="s">
        <v>1827</v>
      </c>
      <c r="C315" t="s">
        <v>1822</v>
      </c>
      <c r="D315" t="s">
        <v>1823</v>
      </c>
    </row>
    <row r="316" spans="1:4" x14ac:dyDescent="0.25">
      <c r="A316" t="s">
        <v>1830</v>
      </c>
      <c r="B316" t="s">
        <v>1829</v>
      </c>
      <c r="C316" t="s">
        <v>1828</v>
      </c>
      <c r="D316" t="s">
        <v>1829</v>
      </c>
    </row>
    <row r="317" spans="1:4" x14ac:dyDescent="0.25">
      <c r="A317" t="s">
        <v>1833</v>
      </c>
      <c r="B317" t="s">
        <v>1832</v>
      </c>
      <c r="C317" t="s">
        <v>1831</v>
      </c>
      <c r="D317" t="s">
        <v>1832</v>
      </c>
    </row>
    <row r="318" spans="1:4" x14ac:dyDescent="0.25">
      <c r="A318" t="s">
        <v>1838</v>
      </c>
      <c r="B318" t="s">
        <v>1837</v>
      </c>
      <c r="C318" t="s">
        <v>1836</v>
      </c>
      <c r="D318" t="s">
        <v>1837</v>
      </c>
    </row>
    <row r="319" spans="1:4" x14ac:dyDescent="0.25">
      <c r="A319" t="s">
        <v>1841</v>
      </c>
      <c r="B319" t="s">
        <v>1840</v>
      </c>
      <c r="C319" t="s">
        <v>1839</v>
      </c>
      <c r="D319" t="s">
        <v>1840</v>
      </c>
    </row>
    <row r="320" spans="1:4" x14ac:dyDescent="0.25">
      <c r="A320" t="s">
        <v>1848</v>
      </c>
      <c r="B320" t="s">
        <v>1849</v>
      </c>
      <c r="C320" t="s">
        <v>1846</v>
      </c>
      <c r="D320" t="s">
        <v>1847</v>
      </c>
    </row>
    <row r="321" spans="1:4" x14ac:dyDescent="0.25">
      <c r="A321" t="s">
        <v>1850</v>
      </c>
      <c r="B321" t="s">
        <v>1851</v>
      </c>
      <c r="C321" t="s">
        <v>1846</v>
      </c>
      <c r="D321" t="s">
        <v>1847</v>
      </c>
    </row>
    <row r="322" spans="1:4" x14ac:dyDescent="0.25">
      <c r="A322" t="s">
        <v>1854</v>
      </c>
      <c r="B322" t="s">
        <v>1855</v>
      </c>
      <c r="C322" t="s">
        <v>1852</v>
      </c>
      <c r="D322" t="s">
        <v>1853</v>
      </c>
    </row>
    <row r="323" spans="1:4" x14ac:dyDescent="0.25">
      <c r="A323" t="s">
        <v>1856</v>
      </c>
      <c r="B323" t="s">
        <v>1857</v>
      </c>
      <c r="C323" t="s">
        <v>1852</v>
      </c>
      <c r="D323" t="s">
        <v>1853</v>
      </c>
    </row>
    <row r="324" spans="1:4" x14ac:dyDescent="0.25">
      <c r="A324" t="s">
        <v>1860</v>
      </c>
      <c r="B324" t="s">
        <v>1861</v>
      </c>
      <c r="C324" t="s">
        <v>1858</v>
      </c>
      <c r="D324" t="s">
        <v>1859</v>
      </c>
    </row>
    <row r="325" spans="1:4" x14ac:dyDescent="0.25">
      <c r="A325" t="s">
        <v>1862</v>
      </c>
      <c r="B325" t="s">
        <v>1863</v>
      </c>
      <c r="C325" t="s">
        <v>1858</v>
      </c>
      <c r="D325" t="s">
        <v>1859</v>
      </c>
    </row>
    <row r="326" spans="1:4" x14ac:dyDescent="0.25">
      <c r="A326" t="s">
        <v>1864</v>
      </c>
      <c r="B326" t="s">
        <v>1865</v>
      </c>
      <c r="C326" t="s">
        <v>1858</v>
      </c>
      <c r="D326" t="s">
        <v>1859</v>
      </c>
    </row>
    <row r="327" spans="1:4" x14ac:dyDescent="0.25">
      <c r="A327" t="s">
        <v>1868</v>
      </c>
      <c r="B327" t="s">
        <v>1869</v>
      </c>
      <c r="C327" t="s">
        <v>1866</v>
      </c>
      <c r="D327" t="s">
        <v>1867</v>
      </c>
    </row>
    <row r="328" spans="1:4" x14ac:dyDescent="0.25">
      <c r="A328" t="s">
        <v>1870</v>
      </c>
      <c r="B328" t="s">
        <v>1871</v>
      </c>
      <c r="C328" t="s">
        <v>1866</v>
      </c>
      <c r="D328" t="s">
        <v>1867</v>
      </c>
    </row>
    <row r="329" spans="1:4" x14ac:dyDescent="0.25">
      <c r="A329" t="s">
        <v>1872</v>
      </c>
      <c r="B329" t="s">
        <v>1873</v>
      </c>
      <c r="C329" t="s">
        <v>1866</v>
      </c>
      <c r="D329" t="s">
        <v>1867</v>
      </c>
    </row>
    <row r="330" spans="1:4" x14ac:dyDescent="0.25">
      <c r="A330" t="s">
        <v>1874</v>
      </c>
      <c r="B330" t="s">
        <v>1875</v>
      </c>
      <c r="C330" t="s">
        <v>1866</v>
      </c>
      <c r="D330" t="s">
        <v>1867</v>
      </c>
    </row>
    <row r="331" spans="1:4" x14ac:dyDescent="0.25">
      <c r="A331" t="s">
        <v>1876</v>
      </c>
      <c r="B331" t="s">
        <v>1877</v>
      </c>
      <c r="C331" t="s">
        <v>1866</v>
      </c>
      <c r="D331" t="s">
        <v>1867</v>
      </c>
    </row>
    <row r="332" spans="1:4" x14ac:dyDescent="0.25">
      <c r="A332" t="s">
        <v>1878</v>
      </c>
      <c r="B332" t="s">
        <v>1879</v>
      </c>
      <c r="C332" t="s">
        <v>1866</v>
      </c>
      <c r="D332" t="s">
        <v>1867</v>
      </c>
    </row>
    <row r="333" spans="1:4" x14ac:dyDescent="0.25">
      <c r="A333" t="s">
        <v>1884</v>
      </c>
      <c r="B333" t="s">
        <v>1885</v>
      </c>
      <c r="C333" t="s">
        <v>1882</v>
      </c>
      <c r="D333" t="s">
        <v>1883</v>
      </c>
    </row>
    <row r="334" spans="1:4" x14ac:dyDescent="0.25">
      <c r="A334" t="s">
        <v>1886</v>
      </c>
      <c r="B334" t="s">
        <v>1887</v>
      </c>
      <c r="C334" t="s">
        <v>1882</v>
      </c>
      <c r="D334" t="s">
        <v>1883</v>
      </c>
    </row>
    <row r="335" spans="1:4" x14ac:dyDescent="0.25">
      <c r="A335" t="s">
        <v>1890</v>
      </c>
      <c r="B335" t="s">
        <v>1889</v>
      </c>
      <c r="C335" t="s">
        <v>1888</v>
      </c>
      <c r="D335" t="s">
        <v>1889</v>
      </c>
    </row>
    <row r="336" spans="1:4" x14ac:dyDescent="0.25">
      <c r="A336" t="s">
        <v>1893</v>
      </c>
      <c r="B336" t="s">
        <v>1892</v>
      </c>
      <c r="C336" t="s">
        <v>1891</v>
      </c>
      <c r="D336" t="s">
        <v>1892</v>
      </c>
    </row>
    <row r="337" spans="1:4" x14ac:dyDescent="0.25">
      <c r="A337" t="s">
        <v>1898</v>
      </c>
      <c r="B337" t="s">
        <v>1899</v>
      </c>
      <c r="C337" t="s">
        <v>1896</v>
      </c>
      <c r="D337" t="s">
        <v>1897</v>
      </c>
    </row>
    <row r="338" spans="1:4" x14ac:dyDescent="0.25">
      <c r="A338" t="s">
        <v>1900</v>
      </c>
      <c r="B338" t="s">
        <v>1901</v>
      </c>
      <c r="C338" t="s">
        <v>1896</v>
      </c>
      <c r="D338" t="s">
        <v>1897</v>
      </c>
    </row>
    <row r="339" spans="1:4" x14ac:dyDescent="0.25">
      <c r="A339" t="s">
        <v>1902</v>
      </c>
      <c r="B339" t="s">
        <v>1903</v>
      </c>
      <c r="C339" t="s">
        <v>1896</v>
      </c>
      <c r="D339" t="s">
        <v>1897</v>
      </c>
    </row>
    <row r="340" spans="1:4" x14ac:dyDescent="0.25">
      <c r="A340" t="s">
        <v>1906</v>
      </c>
      <c r="B340" t="s">
        <v>1907</v>
      </c>
      <c r="C340" t="s">
        <v>1904</v>
      </c>
      <c r="D340" t="s">
        <v>1905</v>
      </c>
    </row>
    <row r="341" spans="1:4" x14ac:dyDescent="0.25">
      <c r="A341" t="s">
        <v>1908</v>
      </c>
      <c r="B341" t="s">
        <v>1909</v>
      </c>
      <c r="C341" t="s">
        <v>1904</v>
      </c>
      <c r="D341" t="s">
        <v>1905</v>
      </c>
    </row>
    <row r="342" spans="1:4" x14ac:dyDescent="0.25">
      <c r="A342" t="s">
        <v>1910</v>
      </c>
      <c r="B342" t="s">
        <v>1911</v>
      </c>
      <c r="C342" t="s">
        <v>1904</v>
      </c>
      <c r="D342" t="s">
        <v>1905</v>
      </c>
    </row>
    <row r="343" spans="1:4" x14ac:dyDescent="0.25">
      <c r="A343" t="s">
        <v>1914</v>
      </c>
      <c r="B343" t="s">
        <v>1913</v>
      </c>
      <c r="C343" t="s">
        <v>1912</v>
      </c>
      <c r="D343" t="s">
        <v>1913</v>
      </c>
    </row>
    <row r="344" spans="1:4" x14ac:dyDescent="0.25">
      <c r="A344" t="s">
        <v>1920</v>
      </c>
      <c r="B344" t="s">
        <v>1919</v>
      </c>
      <c r="C344" t="s">
        <v>1918</v>
      </c>
      <c r="D344" t="s">
        <v>1919</v>
      </c>
    </row>
    <row r="345" spans="1:4" x14ac:dyDescent="0.25">
      <c r="A345" t="s">
        <v>1923</v>
      </c>
      <c r="B345" t="s">
        <v>1924</v>
      </c>
      <c r="C345" t="s">
        <v>1921</v>
      </c>
      <c r="D345" t="s">
        <v>1922</v>
      </c>
    </row>
    <row r="346" spans="1:4" x14ac:dyDescent="0.25">
      <c r="A346" t="s">
        <v>1925</v>
      </c>
      <c r="B346" t="s">
        <v>1926</v>
      </c>
      <c r="C346" t="s">
        <v>1921</v>
      </c>
      <c r="D346" t="s">
        <v>1922</v>
      </c>
    </row>
    <row r="347" spans="1:4" x14ac:dyDescent="0.25">
      <c r="A347" t="s">
        <v>1933</v>
      </c>
      <c r="B347" t="s">
        <v>1932</v>
      </c>
      <c r="C347" t="s">
        <v>1931</v>
      </c>
      <c r="D347" t="s">
        <v>1932</v>
      </c>
    </row>
    <row r="348" spans="1:4" x14ac:dyDescent="0.25">
      <c r="A348" t="s">
        <v>1936</v>
      </c>
      <c r="B348" t="s">
        <v>1935</v>
      </c>
      <c r="C348" t="s">
        <v>1934</v>
      </c>
      <c r="D348" t="s">
        <v>1935</v>
      </c>
    </row>
    <row r="349" spans="1:4" x14ac:dyDescent="0.25">
      <c r="A349" t="s">
        <v>1941</v>
      </c>
      <c r="B349" t="s">
        <v>1940</v>
      </c>
      <c r="C349" t="s">
        <v>1939</v>
      </c>
      <c r="D349" t="s">
        <v>1940</v>
      </c>
    </row>
    <row r="350" spans="1:4" x14ac:dyDescent="0.25">
      <c r="A350" t="s">
        <v>1944</v>
      </c>
      <c r="B350" t="s">
        <v>1943</v>
      </c>
      <c r="C350" t="s">
        <v>1942</v>
      </c>
      <c r="D350" t="s">
        <v>1943</v>
      </c>
    </row>
    <row r="351" spans="1:4" x14ac:dyDescent="0.25">
      <c r="A351" t="s">
        <v>1949</v>
      </c>
      <c r="B351" t="s">
        <v>1948</v>
      </c>
      <c r="C351" t="s">
        <v>1947</v>
      </c>
      <c r="D351" t="s">
        <v>1948</v>
      </c>
    </row>
    <row r="352" spans="1:4" x14ac:dyDescent="0.25">
      <c r="A352" t="s">
        <v>1952</v>
      </c>
      <c r="B352" t="s">
        <v>1951</v>
      </c>
      <c r="C352" t="s">
        <v>1950</v>
      </c>
      <c r="D352" t="s">
        <v>1951</v>
      </c>
    </row>
    <row r="353" spans="1:4" x14ac:dyDescent="0.25">
      <c r="A353" t="s">
        <v>1957</v>
      </c>
      <c r="B353" t="s">
        <v>1956</v>
      </c>
      <c r="C353" t="s">
        <v>1955</v>
      </c>
      <c r="D353" t="s">
        <v>1956</v>
      </c>
    </row>
    <row r="354" spans="1:4" x14ac:dyDescent="0.25">
      <c r="A354" t="s">
        <v>1960</v>
      </c>
      <c r="B354" t="s">
        <v>1959</v>
      </c>
      <c r="C354" t="s">
        <v>1958</v>
      </c>
      <c r="D354" t="s">
        <v>1959</v>
      </c>
    </row>
    <row r="355" spans="1:4" x14ac:dyDescent="0.25">
      <c r="A355" t="s">
        <v>1965</v>
      </c>
      <c r="B355" t="s">
        <v>1964</v>
      </c>
      <c r="C355" t="s">
        <v>1963</v>
      </c>
      <c r="D355" t="s">
        <v>1964</v>
      </c>
    </row>
    <row r="356" spans="1:4" x14ac:dyDescent="0.25">
      <c r="A356" t="s">
        <v>1968</v>
      </c>
      <c r="B356" t="s">
        <v>1967</v>
      </c>
      <c r="C356" t="s">
        <v>1966</v>
      </c>
      <c r="D356" t="s">
        <v>1967</v>
      </c>
    </row>
    <row r="357" spans="1:4" x14ac:dyDescent="0.25">
      <c r="A357" t="s">
        <v>1971</v>
      </c>
      <c r="B357" t="s">
        <v>1970</v>
      </c>
      <c r="C357" t="s">
        <v>1969</v>
      </c>
      <c r="D357" t="s">
        <v>1970</v>
      </c>
    </row>
    <row r="358" spans="1:4" x14ac:dyDescent="0.25">
      <c r="A358" t="s">
        <v>1976</v>
      </c>
      <c r="B358" t="s">
        <v>1975</v>
      </c>
      <c r="C358" t="s">
        <v>1974</v>
      </c>
      <c r="D358" t="s">
        <v>1975</v>
      </c>
    </row>
    <row r="359" spans="1:4" x14ac:dyDescent="0.25">
      <c r="A359" t="s">
        <v>1979</v>
      </c>
      <c r="B359" t="s">
        <v>1978</v>
      </c>
      <c r="C359" t="s">
        <v>1977</v>
      </c>
      <c r="D359" t="s">
        <v>1978</v>
      </c>
    </row>
    <row r="360" spans="1:4" x14ac:dyDescent="0.25">
      <c r="A360" t="s">
        <v>1982</v>
      </c>
      <c r="B360" t="s">
        <v>1981</v>
      </c>
      <c r="C360" t="s">
        <v>1980</v>
      </c>
      <c r="D360" t="s">
        <v>1981</v>
      </c>
    </row>
    <row r="361" spans="1:4" x14ac:dyDescent="0.25">
      <c r="A361" t="s">
        <v>1985</v>
      </c>
      <c r="B361" t="s">
        <v>1986</v>
      </c>
      <c r="C361" t="s">
        <v>1983</v>
      </c>
      <c r="D361" t="s">
        <v>1984</v>
      </c>
    </row>
    <row r="362" spans="1:4" x14ac:dyDescent="0.25">
      <c r="A362" t="s">
        <v>1987</v>
      </c>
      <c r="B362" t="s">
        <v>1988</v>
      </c>
      <c r="C362" t="s">
        <v>1983</v>
      </c>
      <c r="D362" t="s">
        <v>1984</v>
      </c>
    </row>
    <row r="363" spans="1:4" x14ac:dyDescent="0.25">
      <c r="A363" t="s">
        <v>1992</v>
      </c>
      <c r="B363" t="s">
        <v>1990</v>
      </c>
      <c r="C363" t="s">
        <v>1991</v>
      </c>
      <c r="D363" t="s">
        <v>1990</v>
      </c>
    </row>
    <row r="364" spans="1:4" x14ac:dyDescent="0.25">
      <c r="A364" t="s">
        <v>1999</v>
      </c>
      <c r="B364" t="s">
        <v>1998</v>
      </c>
      <c r="C364" t="s">
        <v>1997</v>
      </c>
      <c r="D364" t="s">
        <v>1998</v>
      </c>
    </row>
    <row r="365" spans="1:4" x14ac:dyDescent="0.25">
      <c r="A365" t="s">
        <v>2002</v>
      </c>
      <c r="B365" t="s">
        <v>2003</v>
      </c>
      <c r="C365" t="s">
        <v>2000</v>
      </c>
      <c r="D365" t="s">
        <v>2001</v>
      </c>
    </row>
    <row r="366" spans="1:4" x14ac:dyDescent="0.25">
      <c r="A366" t="s">
        <v>2004</v>
      </c>
      <c r="B366" t="s">
        <v>2005</v>
      </c>
      <c r="C366" t="s">
        <v>2000</v>
      </c>
      <c r="D366" t="s">
        <v>2001</v>
      </c>
    </row>
    <row r="367" spans="1:4" x14ac:dyDescent="0.25">
      <c r="A367" t="s">
        <v>2008</v>
      </c>
      <c r="B367" t="s">
        <v>2007</v>
      </c>
      <c r="C367" t="s">
        <v>2006</v>
      </c>
      <c r="D367" t="s">
        <v>2007</v>
      </c>
    </row>
    <row r="368" spans="1:4" x14ac:dyDescent="0.25">
      <c r="A368" t="s">
        <v>2011</v>
      </c>
      <c r="B368" t="s">
        <v>2010</v>
      </c>
      <c r="C368" t="s">
        <v>2009</v>
      </c>
      <c r="D368" t="s">
        <v>2010</v>
      </c>
    </row>
    <row r="369" spans="1:4" x14ac:dyDescent="0.25">
      <c r="A369" t="s">
        <v>2014</v>
      </c>
      <c r="B369" t="s">
        <v>2015</v>
      </c>
      <c r="C369" t="s">
        <v>2012</v>
      </c>
      <c r="D369" t="s">
        <v>2013</v>
      </c>
    </row>
    <row r="370" spans="1:4" x14ac:dyDescent="0.25">
      <c r="A370" t="s">
        <v>2016</v>
      </c>
      <c r="B370" t="s">
        <v>2017</v>
      </c>
      <c r="C370" t="s">
        <v>2012</v>
      </c>
      <c r="D370" t="s">
        <v>2013</v>
      </c>
    </row>
    <row r="371" spans="1:4" x14ac:dyDescent="0.25">
      <c r="A371" t="s">
        <v>2022</v>
      </c>
      <c r="B371" t="s">
        <v>2021</v>
      </c>
      <c r="C371" t="s">
        <v>2020</v>
      </c>
      <c r="D371" t="s">
        <v>2021</v>
      </c>
    </row>
    <row r="372" spans="1:4" x14ac:dyDescent="0.25">
      <c r="A372" t="s">
        <v>2025</v>
      </c>
      <c r="B372" t="s">
        <v>2024</v>
      </c>
      <c r="C372" t="s">
        <v>2023</v>
      </c>
      <c r="D372" t="s">
        <v>2024</v>
      </c>
    </row>
    <row r="373" spans="1:4" x14ac:dyDescent="0.25">
      <c r="A373" t="s">
        <v>2030</v>
      </c>
      <c r="B373" t="s">
        <v>2031</v>
      </c>
      <c r="C373" t="s">
        <v>2028</v>
      </c>
      <c r="D373" t="s">
        <v>2029</v>
      </c>
    </row>
    <row r="374" spans="1:4" x14ac:dyDescent="0.25">
      <c r="A374" t="s">
        <v>2032</v>
      </c>
      <c r="B374" t="s">
        <v>2033</v>
      </c>
      <c r="C374" t="s">
        <v>2028</v>
      </c>
      <c r="D374" t="s">
        <v>2029</v>
      </c>
    </row>
    <row r="375" spans="1:4" x14ac:dyDescent="0.25">
      <c r="A375" t="s">
        <v>2036</v>
      </c>
      <c r="B375" t="s">
        <v>2035</v>
      </c>
      <c r="C375" t="s">
        <v>2034</v>
      </c>
      <c r="D375" t="s">
        <v>2035</v>
      </c>
    </row>
    <row r="376" spans="1:4" x14ac:dyDescent="0.25">
      <c r="A376" t="s">
        <v>2040</v>
      </c>
      <c r="B376" t="s">
        <v>2041</v>
      </c>
      <c r="C376" t="s">
        <v>2039</v>
      </c>
      <c r="D376" t="s">
        <v>2038</v>
      </c>
    </row>
    <row r="377" spans="1:4" x14ac:dyDescent="0.25">
      <c r="A377" t="s">
        <v>2042</v>
      </c>
      <c r="B377" t="s">
        <v>2043</v>
      </c>
      <c r="C377" t="s">
        <v>2039</v>
      </c>
      <c r="D377" t="s">
        <v>2038</v>
      </c>
    </row>
    <row r="378" spans="1:4" x14ac:dyDescent="0.25">
      <c r="A378" t="s">
        <v>2048</v>
      </c>
      <c r="B378" t="s">
        <v>2047</v>
      </c>
      <c r="C378" t="s">
        <v>2046</v>
      </c>
      <c r="D378" t="s">
        <v>2047</v>
      </c>
    </row>
    <row r="379" spans="1:4" x14ac:dyDescent="0.25">
      <c r="A379" t="s">
        <v>2051</v>
      </c>
      <c r="B379" t="s">
        <v>2052</v>
      </c>
      <c r="C379" t="s">
        <v>2049</v>
      </c>
      <c r="D379" t="s">
        <v>2050</v>
      </c>
    </row>
    <row r="380" spans="1:4" x14ac:dyDescent="0.25">
      <c r="A380" t="s">
        <v>2053</v>
      </c>
      <c r="B380" t="s">
        <v>2054</v>
      </c>
      <c r="C380" t="s">
        <v>2049</v>
      </c>
      <c r="D380" t="s">
        <v>2050</v>
      </c>
    </row>
    <row r="381" spans="1:4" x14ac:dyDescent="0.25">
      <c r="A381" t="s">
        <v>2057</v>
      </c>
      <c r="B381" t="s">
        <v>2056</v>
      </c>
      <c r="C381" t="s">
        <v>2055</v>
      </c>
      <c r="D381" t="s">
        <v>2056</v>
      </c>
    </row>
    <row r="382" spans="1:4" x14ac:dyDescent="0.25">
      <c r="A382" t="s">
        <v>2062</v>
      </c>
      <c r="B382" t="s">
        <v>2061</v>
      </c>
      <c r="C382" t="s">
        <v>2060</v>
      </c>
      <c r="D382" t="s">
        <v>2061</v>
      </c>
    </row>
    <row r="383" spans="1:4" x14ac:dyDescent="0.25">
      <c r="A383" t="s">
        <v>2065</v>
      </c>
      <c r="B383" t="s">
        <v>2064</v>
      </c>
      <c r="C383" t="s">
        <v>2063</v>
      </c>
      <c r="D383" t="s">
        <v>2064</v>
      </c>
    </row>
    <row r="384" spans="1:4" x14ac:dyDescent="0.25">
      <c r="A384" t="s">
        <v>2068</v>
      </c>
      <c r="B384" t="s">
        <v>2067</v>
      </c>
      <c r="C384" t="s">
        <v>2066</v>
      </c>
      <c r="D384" t="s">
        <v>2067</v>
      </c>
    </row>
    <row r="385" spans="1:4" x14ac:dyDescent="0.25">
      <c r="A385" t="s">
        <v>2071</v>
      </c>
      <c r="B385" t="s">
        <v>2070</v>
      </c>
      <c r="C385" t="s">
        <v>2069</v>
      </c>
      <c r="D385" t="s">
        <v>2070</v>
      </c>
    </row>
    <row r="386" spans="1:4" x14ac:dyDescent="0.25">
      <c r="A386" t="s">
        <v>2074</v>
      </c>
      <c r="B386" t="s">
        <v>2075</v>
      </c>
      <c r="C386" t="s">
        <v>2072</v>
      </c>
      <c r="D386" t="s">
        <v>2073</v>
      </c>
    </row>
    <row r="387" spans="1:4" x14ac:dyDescent="0.25">
      <c r="A387" t="s">
        <v>2076</v>
      </c>
      <c r="B387" t="s">
        <v>2077</v>
      </c>
      <c r="C387" t="s">
        <v>2072</v>
      </c>
      <c r="D387" t="s">
        <v>2073</v>
      </c>
    </row>
    <row r="388" spans="1:4" x14ac:dyDescent="0.25">
      <c r="A388" t="s">
        <v>2078</v>
      </c>
      <c r="B388" t="s">
        <v>2079</v>
      </c>
      <c r="C388" t="s">
        <v>2072</v>
      </c>
      <c r="D388" t="s">
        <v>2073</v>
      </c>
    </row>
    <row r="389" spans="1:4" x14ac:dyDescent="0.25">
      <c r="A389" t="s">
        <v>2085</v>
      </c>
      <c r="B389" t="s">
        <v>2086</v>
      </c>
      <c r="C389" t="s">
        <v>2083</v>
      </c>
      <c r="D389" t="s">
        <v>2084</v>
      </c>
    </row>
    <row r="390" spans="1:4" x14ac:dyDescent="0.25">
      <c r="A390" t="s">
        <v>2087</v>
      </c>
      <c r="B390" t="s">
        <v>2088</v>
      </c>
      <c r="C390" t="s">
        <v>2083</v>
      </c>
      <c r="D390" t="s">
        <v>2084</v>
      </c>
    </row>
    <row r="391" spans="1:4" x14ac:dyDescent="0.25">
      <c r="A391" t="s">
        <v>2089</v>
      </c>
      <c r="B391" t="s">
        <v>2090</v>
      </c>
      <c r="C391" t="s">
        <v>2083</v>
      </c>
      <c r="D391" t="s">
        <v>2084</v>
      </c>
    </row>
    <row r="392" spans="1:4" x14ac:dyDescent="0.25">
      <c r="A392" t="s">
        <v>2091</v>
      </c>
      <c r="B392" t="s">
        <v>2092</v>
      </c>
      <c r="C392" t="s">
        <v>2083</v>
      </c>
      <c r="D392" t="s">
        <v>2084</v>
      </c>
    </row>
    <row r="393" spans="1:4" x14ac:dyDescent="0.25">
      <c r="A393" t="s">
        <v>2095</v>
      </c>
      <c r="B393" t="s">
        <v>2096</v>
      </c>
      <c r="C393" t="s">
        <v>2093</v>
      </c>
      <c r="D393" t="s">
        <v>2094</v>
      </c>
    </row>
    <row r="394" spans="1:4" x14ac:dyDescent="0.25">
      <c r="A394" t="s">
        <v>2097</v>
      </c>
      <c r="B394" t="s">
        <v>2098</v>
      </c>
      <c r="C394" t="s">
        <v>2093</v>
      </c>
      <c r="D394" t="s">
        <v>2094</v>
      </c>
    </row>
    <row r="395" spans="1:4" x14ac:dyDescent="0.25">
      <c r="A395" t="s">
        <v>2099</v>
      </c>
      <c r="B395" t="s">
        <v>2100</v>
      </c>
      <c r="C395" t="s">
        <v>2093</v>
      </c>
      <c r="D395" t="s">
        <v>2094</v>
      </c>
    </row>
    <row r="396" spans="1:4" x14ac:dyDescent="0.25">
      <c r="A396" t="s">
        <v>2103</v>
      </c>
      <c r="B396" t="s">
        <v>2102</v>
      </c>
      <c r="C396" t="s">
        <v>2101</v>
      </c>
      <c r="D396" t="s">
        <v>2102</v>
      </c>
    </row>
    <row r="397" spans="1:4" x14ac:dyDescent="0.25">
      <c r="A397" t="s">
        <v>2109</v>
      </c>
      <c r="B397" t="s">
        <v>2108</v>
      </c>
      <c r="C397" t="s">
        <v>2107</v>
      </c>
      <c r="D397" t="s">
        <v>2108</v>
      </c>
    </row>
    <row r="398" spans="1:4" x14ac:dyDescent="0.25">
      <c r="A398" t="s">
        <v>2112</v>
      </c>
      <c r="B398" t="s">
        <v>2111</v>
      </c>
      <c r="C398" t="s">
        <v>2110</v>
      </c>
      <c r="D398" t="s">
        <v>2111</v>
      </c>
    </row>
    <row r="399" spans="1:4" x14ac:dyDescent="0.25">
      <c r="A399" t="s">
        <v>2115</v>
      </c>
      <c r="B399" t="s">
        <v>2116</v>
      </c>
      <c r="C399" t="s">
        <v>2113</v>
      </c>
      <c r="D399" t="s">
        <v>2114</v>
      </c>
    </row>
    <row r="400" spans="1:4" x14ac:dyDescent="0.25">
      <c r="A400" t="s">
        <v>2117</v>
      </c>
      <c r="B400" t="s">
        <v>2118</v>
      </c>
      <c r="C400" t="s">
        <v>2113</v>
      </c>
      <c r="D400" t="s">
        <v>2114</v>
      </c>
    </row>
    <row r="401" spans="1:4" x14ac:dyDescent="0.25">
      <c r="A401" t="s">
        <v>2119</v>
      </c>
      <c r="B401" t="s">
        <v>2120</v>
      </c>
      <c r="C401" t="s">
        <v>2113</v>
      </c>
      <c r="D401" t="s">
        <v>2114</v>
      </c>
    </row>
    <row r="402" spans="1:4" x14ac:dyDescent="0.25">
      <c r="A402" t="s">
        <v>2123</v>
      </c>
      <c r="B402" t="s">
        <v>2122</v>
      </c>
      <c r="C402" t="s">
        <v>2121</v>
      </c>
      <c r="D402" t="s">
        <v>2122</v>
      </c>
    </row>
    <row r="403" spans="1:4" x14ac:dyDescent="0.25">
      <c r="A403" t="s">
        <v>2126</v>
      </c>
      <c r="B403" t="s">
        <v>2127</v>
      </c>
      <c r="C403" t="s">
        <v>2124</v>
      </c>
      <c r="D403" t="s">
        <v>2125</v>
      </c>
    </row>
    <row r="404" spans="1:4" x14ac:dyDescent="0.25">
      <c r="A404" t="s">
        <v>2128</v>
      </c>
      <c r="B404" t="s">
        <v>2129</v>
      </c>
      <c r="C404" t="s">
        <v>2124</v>
      </c>
      <c r="D404" t="s">
        <v>2125</v>
      </c>
    </row>
    <row r="405" spans="1:4" x14ac:dyDescent="0.25">
      <c r="A405" t="s">
        <v>2130</v>
      </c>
      <c r="B405" t="s">
        <v>2131</v>
      </c>
      <c r="C405" t="s">
        <v>2124</v>
      </c>
      <c r="D405" t="s">
        <v>2125</v>
      </c>
    </row>
    <row r="406" spans="1:4" x14ac:dyDescent="0.25">
      <c r="A406" t="s">
        <v>2132</v>
      </c>
      <c r="B406" t="s">
        <v>2133</v>
      </c>
      <c r="C406" t="s">
        <v>2124</v>
      </c>
      <c r="D406" t="s">
        <v>2125</v>
      </c>
    </row>
    <row r="407" spans="1:4" x14ac:dyDescent="0.25">
      <c r="A407" t="s">
        <v>2136</v>
      </c>
      <c r="B407" t="s">
        <v>2137</v>
      </c>
      <c r="C407" t="s">
        <v>2134</v>
      </c>
      <c r="D407" t="s">
        <v>2135</v>
      </c>
    </row>
    <row r="408" spans="1:4" x14ac:dyDescent="0.25">
      <c r="A408" t="s">
        <v>2138</v>
      </c>
      <c r="B408" t="s">
        <v>2139</v>
      </c>
      <c r="C408" t="s">
        <v>2134</v>
      </c>
      <c r="D408" t="s">
        <v>2135</v>
      </c>
    </row>
    <row r="409" spans="1:4" x14ac:dyDescent="0.25">
      <c r="A409" t="s">
        <v>2146</v>
      </c>
      <c r="B409" t="s">
        <v>2145</v>
      </c>
      <c r="C409" t="s">
        <v>2144</v>
      </c>
      <c r="D409" t="s">
        <v>2145</v>
      </c>
    </row>
    <row r="410" spans="1:4" x14ac:dyDescent="0.25">
      <c r="A410" t="s">
        <v>2149</v>
      </c>
      <c r="B410" t="s">
        <v>2148</v>
      </c>
      <c r="C410" t="s">
        <v>2147</v>
      </c>
      <c r="D410" t="s">
        <v>2148</v>
      </c>
    </row>
    <row r="411" spans="1:4" x14ac:dyDescent="0.25">
      <c r="A411" t="s">
        <v>2152</v>
      </c>
      <c r="B411" t="s">
        <v>2153</v>
      </c>
      <c r="C411" t="s">
        <v>2150</v>
      </c>
      <c r="D411" t="s">
        <v>2151</v>
      </c>
    </row>
    <row r="412" spans="1:4" x14ac:dyDescent="0.25">
      <c r="A412" t="s">
        <v>2154</v>
      </c>
      <c r="B412" t="s">
        <v>2155</v>
      </c>
      <c r="C412" t="s">
        <v>2150</v>
      </c>
      <c r="D412" t="s">
        <v>2151</v>
      </c>
    </row>
    <row r="413" spans="1:4" x14ac:dyDescent="0.25">
      <c r="A413" t="s">
        <v>2160</v>
      </c>
      <c r="B413" t="s">
        <v>2159</v>
      </c>
      <c r="C413" t="s">
        <v>2158</v>
      </c>
      <c r="D413" t="s">
        <v>2159</v>
      </c>
    </row>
    <row r="414" spans="1:4" x14ac:dyDescent="0.25">
      <c r="A414" t="s">
        <v>2163</v>
      </c>
      <c r="B414" t="s">
        <v>2162</v>
      </c>
      <c r="C414" t="s">
        <v>2161</v>
      </c>
      <c r="D414" t="s">
        <v>2162</v>
      </c>
    </row>
    <row r="415" spans="1:4" x14ac:dyDescent="0.25">
      <c r="A415" t="s">
        <v>2166</v>
      </c>
      <c r="B415" t="s">
        <v>2165</v>
      </c>
      <c r="C415" t="s">
        <v>2164</v>
      </c>
      <c r="D415" t="s">
        <v>2165</v>
      </c>
    </row>
    <row r="416" spans="1:4" x14ac:dyDescent="0.25">
      <c r="A416" t="s">
        <v>2169</v>
      </c>
      <c r="B416" t="s">
        <v>2170</v>
      </c>
      <c r="C416" t="s">
        <v>2167</v>
      </c>
      <c r="D416" t="s">
        <v>2168</v>
      </c>
    </row>
    <row r="417" spans="1:4" x14ac:dyDescent="0.25">
      <c r="A417" t="s">
        <v>2171</v>
      </c>
      <c r="B417" t="s">
        <v>2172</v>
      </c>
      <c r="C417" t="s">
        <v>2167</v>
      </c>
      <c r="D417" t="s">
        <v>2168</v>
      </c>
    </row>
    <row r="418" spans="1:4" x14ac:dyDescent="0.25">
      <c r="A418" t="s">
        <v>2177</v>
      </c>
      <c r="B418" t="s">
        <v>2176</v>
      </c>
      <c r="C418" t="s">
        <v>2175</v>
      </c>
      <c r="D418" t="s">
        <v>2176</v>
      </c>
    </row>
    <row r="419" spans="1:4" x14ac:dyDescent="0.25">
      <c r="A419" t="s">
        <v>2180</v>
      </c>
      <c r="B419" t="s">
        <v>2179</v>
      </c>
      <c r="C419" t="s">
        <v>2178</v>
      </c>
      <c r="D419" t="s">
        <v>2179</v>
      </c>
    </row>
    <row r="420" spans="1:4" x14ac:dyDescent="0.25">
      <c r="A420" t="s">
        <v>2187</v>
      </c>
      <c r="B420" t="s">
        <v>2188</v>
      </c>
      <c r="C420" t="s">
        <v>2185</v>
      </c>
      <c r="D420" t="s">
        <v>2186</v>
      </c>
    </row>
    <row r="421" spans="1:4" x14ac:dyDescent="0.25">
      <c r="A421" t="s">
        <v>2189</v>
      </c>
      <c r="B421" t="s">
        <v>2190</v>
      </c>
      <c r="C421" t="s">
        <v>2185</v>
      </c>
      <c r="D421" t="s">
        <v>2186</v>
      </c>
    </row>
    <row r="422" spans="1:4" x14ac:dyDescent="0.25">
      <c r="A422" t="s">
        <v>2191</v>
      </c>
      <c r="B422" t="s">
        <v>2192</v>
      </c>
      <c r="C422" t="s">
        <v>2185</v>
      </c>
      <c r="D422" t="s">
        <v>2186</v>
      </c>
    </row>
    <row r="423" spans="1:4" x14ac:dyDescent="0.25">
      <c r="A423" t="s">
        <v>2195</v>
      </c>
      <c r="B423" t="s">
        <v>2194</v>
      </c>
      <c r="C423" t="s">
        <v>2193</v>
      </c>
      <c r="D423" t="s">
        <v>2194</v>
      </c>
    </row>
    <row r="424" spans="1:4" x14ac:dyDescent="0.25">
      <c r="A424" t="s">
        <v>2198</v>
      </c>
      <c r="B424" t="s">
        <v>2199</v>
      </c>
      <c r="C424" t="s">
        <v>2196</v>
      </c>
      <c r="D424" t="s">
        <v>2197</v>
      </c>
    </row>
    <row r="425" spans="1:4" x14ac:dyDescent="0.25">
      <c r="A425" t="s">
        <v>2200</v>
      </c>
      <c r="B425" t="s">
        <v>2201</v>
      </c>
      <c r="C425" t="s">
        <v>2196</v>
      </c>
      <c r="D425" t="s">
        <v>2197</v>
      </c>
    </row>
    <row r="426" spans="1:4" x14ac:dyDescent="0.25">
      <c r="A426" t="s">
        <v>2206</v>
      </c>
      <c r="B426" t="s">
        <v>2207</v>
      </c>
      <c r="C426" t="s">
        <v>2204</v>
      </c>
      <c r="D426" t="s">
        <v>2205</v>
      </c>
    </row>
    <row r="427" spans="1:4" x14ac:dyDescent="0.25">
      <c r="A427" t="s">
        <v>2208</v>
      </c>
      <c r="B427" t="s">
        <v>2209</v>
      </c>
      <c r="C427" t="s">
        <v>2204</v>
      </c>
      <c r="D427" t="s">
        <v>2205</v>
      </c>
    </row>
    <row r="428" spans="1:4" x14ac:dyDescent="0.25">
      <c r="A428" t="s">
        <v>2212</v>
      </c>
      <c r="B428" t="s">
        <v>2213</v>
      </c>
      <c r="C428" t="s">
        <v>2210</v>
      </c>
      <c r="D428" t="s">
        <v>2211</v>
      </c>
    </row>
    <row r="429" spans="1:4" x14ac:dyDescent="0.25">
      <c r="A429" t="s">
        <v>2214</v>
      </c>
      <c r="B429" t="s">
        <v>2215</v>
      </c>
      <c r="C429" t="s">
        <v>2210</v>
      </c>
      <c r="D429" t="s">
        <v>2211</v>
      </c>
    </row>
    <row r="430" spans="1:4" x14ac:dyDescent="0.25">
      <c r="A430" t="s">
        <v>2218</v>
      </c>
      <c r="B430" t="s">
        <v>2217</v>
      </c>
      <c r="C430" t="s">
        <v>2216</v>
      </c>
      <c r="D430" t="s">
        <v>2217</v>
      </c>
    </row>
    <row r="431" spans="1:4" x14ac:dyDescent="0.25">
      <c r="A431" t="s">
        <v>2221</v>
      </c>
      <c r="B431" t="s">
        <v>2222</v>
      </c>
      <c r="C431" t="s">
        <v>2219</v>
      </c>
      <c r="D431" t="s">
        <v>2220</v>
      </c>
    </row>
    <row r="432" spans="1:4" x14ac:dyDescent="0.25">
      <c r="A432" t="s">
        <v>2223</v>
      </c>
      <c r="B432" t="s">
        <v>2224</v>
      </c>
      <c r="C432" t="s">
        <v>2219</v>
      </c>
      <c r="D432" t="s">
        <v>2220</v>
      </c>
    </row>
    <row r="433" spans="1:4" x14ac:dyDescent="0.25">
      <c r="A433" t="s">
        <v>2228</v>
      </c>
      <c r="B433" t="s">
        <v>2226</v>
      </c>
      <c r="C433" t="s">
        <v>2227</v>
      </c>
      <c r="D433" t="s">
        <v>2226</v>
      </c>
    </row>
    <row r="434" spans="1:4" x14ac:dyDescent="0.25">
      <c r="A434" t="s">
        <v>2233</v>
      </c>
      <c r="B434" t="s">
        <v>2234</v>
      </c>
      <c r="C434" t="s">
        <v>2231</v>
      </c>
      <c r="D434" t="s">
        <v>2232</v>
      </c>
    </row>
    <row r="435" spans="1:4" x14ac:dyDescent="0.25">
      <c r="A435" t="s">
        <v>2235</v>
      </c>
      <c r="B435" t="s">
        <v>2236</v>
      </c>
      <c r="C435" t="s">
        <v>2231</v>
      </c>
      <c r="D435" t="s">
        <v>2232</v>
      </c>
    </row>
    <row r="436" spans="1:4" x14ac:dyDescent="0.25">
      <c r="A436" t="s">
        <v>2237</v>
      </c>
      <c r="B436" t="s">
        <v>2238</v>
      </c>
      <c r="C436" t="s">
        <v>2231</v>
      </c>
      <c r="D436" t="s">
        <v>2232</v>
      </c>
    </row>
    <row r="437" spans="1:4" x14ac:dyDescent="0.25">
      <c r="A437" t="s">
        <v>2241</v>
      </c>
      <c r="B437" t="s">
        <v>2242</v>
      </c>
      <c r="C437" t="s">
        <v>2239</v>
      </c>
      <c r="D437" t="s">
        <v>2240</v>
      </c>
    </row>
    <row r="438" spans="1:4" x14ac:dyDescent="0.25">
      <c r="A438" t="s">
        <v>2243</v>
      </c>
      <c r="B438" t="s">
        <v>2244</v>
      </c>
      <c r="C438" t="s">
        <v>2239</v>
      </c>
      <c r="D438" t="s">
        <v>2240</v>
      </c>
    </row>
    <row r="439" spans="1:4" x14ac:dyDescent="0.25">
      <c r="A439" t="s">
        <v>2251</v>
      </c>
      <c r="B439" t="s">
        <v>2252</v>
      </c>
      <c r="C439" t="s">
        <v>2249</v>
      </c>
      <c r="D439" t="s">
        <v>2250</v>
      </c>
    </row>
    <row r="440" spans="1:4" x14ac:dyDescent="0.25">
      <c r="A440" t="s">
        <v>2253</v>
      </c>
      <c r="B440" t="s">
        <v>2254</v>
      </c>
      <c r="C440" t="s">
        <v>2249</v>
      </c>
      <c r="D440" t="s">
        <v>2250</v>
      </c>
    </row>
    <row r="441" spans="1:4" x14ac:dyDescent="0.25">
      <c r="A441" t="s">
        <v>2257</v>
      </c>
      <c r="B441" t="s">
        <v>2256</v>
      </c>
      <c r="C441" t="s">
        <v>2255</v>
      </c>
      <c r="D441" t="s">
        <v>2256</v>
      </c>
    </row>
    <row r="442" spans="1:4" x14ac:dyDescent="0.25">
      <c r="A442" t="s">
        <v>2260</v>
      </c>
      <c r="B442" t="s">
        <v>2261</v>
      </c>
      <c r="C442" t="s">
        <v>2258</v>
      </c>
      <c r="D442" t="s">
        <v>2259</v>
      </c>
    </row>
    <row r="443" spans="1:4" x14ac:dyDescent="0.25">
      <c r="A443" t="s">
        <v>2262</v>
      </c>
      <c r="B443" t="s">
        <v>2263</v>
      </c>
      <c r="C443" t="s">
        <v>2258</v>
      </c>
      <c r="D443" t="s">
        <v>2259</v>
      </c>
    </row>
    <row r="444" spans="1:4" x14ac:dyDescent="0.25">
      <c r="A444" t="s">
        <v>2264</v>
      </c>
      <c r="B444" t="s">
        <v>2265</v>
      </c>
      <c r="C444" t="s">
        <v>2258</v>
      </c>
      <c r="D444" t="s">
        <v>2259</v>
      </c>
    </row>
    <row r="445" spans="1:4" x14ac:dyDescent="0.25">
      <c r="A445" t="s">
        <v>2270</v>
      </c>
      <c r="B445" t="s">
        <v>2269</v>
      </c>
      <c r="C445" t="s">
        <v>2268</v>
      </c>
      <c r="D445" t="s">
        <v>2269</v>
      </c>
    </row>
    <row r="446" spans="1:4" x14ac:dyDescent="0.25">
      <c r="A446" t="s">
        <v>2273</v>
      </c>
      <c r="B446" t="s">
        <v>2274</v>
      </c>
      <c r="C446" t="s">
        <v>2271</v>
      </c>
      <c r="D446" t="s">
        <v>2272</v>
      </c>
    </row>
    <row r="447" spans="1:4" x14ac:dyDescent="0.25">
      <c r="A447" t="s">
        <v>2275</v>
      </c>
      <c r="B447" t="s">
        <v>2276</v>
      </c>
      <c r="C447" t="s">
        <v>2271</v>
      </c>
      <c r="D447" t="s">
        <v>2272</v>
      </c>
    </row>
    <row r="448" spans="1:4" x14ac:dyDescent="0.25">
      <c r="A448" t="s">
        <v>2277</v>
      </c>
      <c r="B448" t="s">
        <v>2278</v>
      </c>
      <c r="C448" t="s">
        <v>2271</v>
      </c>
      <c r="D448" t="s">
        <v>2272</v>
      </c>
    </row>
    <row r="449" spans="1:4" x14ac:dyDescent="0.25">
      <c r="A449" t="s">
        <v>2279</v>
      </c>
      <c r="B449" t="s">
        <v>2280</v>
      </c>
      <c r="C449" t="s">
        <v>2271</v>
      </c>
      <c r="D449" t="s">
        <v>2272</v>
      </c>
    </row>
    <row r="450" spans="1:4" x14ac:dyDescent="0.25">
      <c r="A450" t="s">
        <v>2281</v>
      </c>
      <c r="B450" t="s">
        <v>2282</v>
      </c>
      <c r="C450" t="s">
        <v>2271</v>
      </c>
      <c r="D450" t="s">
        <v>2272</v>
      </c>
    </row>
    <row r="451" spans="1:4" x14ac:dyDescent="0.25">
      <c r="A451" t="s">
        <v>2285</v>
      </c>
      <c r="B451" t="s">
        <v>2286</v>
      </c>
      <c r="C451" t="s">
        <v>2283</v>
      </c>
      <c r="D451" t="s">
        <v>2284</v>
      </c>
    </row>
    <row r="452" spans="1:4" x14ac:dyDescent="0.25">
      <c r="A452" t="s">
        <v>2287</v>
      </c>
      <c r="B452" t="s">
        <v>2288</v>
      </c>
      <c r="C452" t="s">
        <v>2283</v>
      </c>
      <c r="D452" t="s">
        <v>2284</v>
      </c>
    </row>
    <row r="453" spans="1:4" x14ac:dyDescent="0.25">
      <c r="A453" t="s">
        <v>2291</v>
      </c>
      <c r="B453" t="s">
        <v>2290</v>
      </c>
      <c r="C453" t="s">
        <v>2289</v>
      </c>
      <c r="D453" t="s">
        <v>2290</v>
      </c>
    </row>
    <row r="454" spans="1:4" x14ac:dyDescent="0.25">
      <c r="A454" t="s">
        <v>2296</v>
      </c>
      <c r="B454" t="s">
        <v>2295</v>
      </c>
      <c r="C454" t="s">
        <v>2294</v>
      </c>
      <c r="D454" t="s">
        <v>2295</v>
      </c>
    </row>
    <row r="455" spans="1:4" x14ac:dyDescent="0.25">
      <c r="A455" t="s">
        <v>2299</v>
      </c>
      <c r="B455" t="s">
        <v>2300</v>
      </c>
      <c r="C455" t="s">
        <v>2297</v>
      </c>
      <c r="D455" t="s">
        <v>2298</v>
      </c>
    </row>
    <row r="456" spans="1:4" x14ac:dyDescent="0.25">
      <c r="A456" t="s">
        <v>2301</v>
      </c>
      <c r="B456" t="s">
        <v>2302</v>
      </c>
      <c r="C456" t="s">
        <v>2297</v>
      </c>
      <c r="D456" t="s">
        <v>2298</v>
      </c>
    </row>
    <row r="457" spans="1:4" x14ac:dyDescent="0.25">
      <c r="A457" t="s">
        <v>2303</v>
      </c>
      <c r="B457" t="s">
        <v>2304</v>
      </c>
      <c r="C457" t="s">
        <v>2297</v>
      </c>
      <c r="D457" t="s">
        <v>2298</v>
      </c>
    </row>
    <row r="458" spans="1:4" x14ac:dyDescent="0.25">
      <c r="A458" t="s">
        <v>2307</v>
      </c>
      <c r="B458" t="s">
        <v>2306</v>
      </c>
      <c r="C458" t="s">
        <v>2305</v>
      </c>
      <c r="D458" t="s">
        <v>2306</v>
      </c>
    </row>
    <row r="459" spans="1:4" x14ac:dyDescent="0.25">
      <c r="A459" t="s">
        <v>2310</v>
      </c>
      <c r="B459" t="s">
        <v>2309</v>
      </c>
      <c r="C459" t="s">
        <v>2308</v>
      </c>
      <c r="D459" t="s">
        <v>2309</v>
      </c>
    </row>
    <row r="460" spans="1:4" x14ac:dyDescent="0.25">
      <c r="A460" t="s">
        <v>2313</v>
      </c>
      <c r="B460" t="s">
        <v>2312</v>
      </c>
      <c r="C460" t="s">
        <v>2311</v>
      </c>
      <c r="D460" t="s">
        <v>2312</v>
      </c>
    </row>
    <row r="461" spans="1:4" x14ac:dyDescent="0.25">
      <c r="A461" t="s">
        <v>2319</v>
      </c>
      <c r="B461" t="s">
        <v>2317</v>
      </c>
      <c r="C461" t="s">
        <v>2318</v>
      </c>
      <c r="D461" t="s">
        <v>2317</v>
      </c>
    </row>
    <row r="462" spans="1:4" x14ac:dyDescent="0.25">
      <c r="A462" t="s">
        <v>2324</v>
      </c>
      <c r="B462" t="s">
        <v>2323</v>
      </c>
      <c r="C462" t="s">
        <v>2322</v>
      </c>
      <c r="D462" t="s">
        <v>2323</v>
      </c>
    </row>
    <row r="463" spans="1:4" x14ac:dyDescent="0.25">
      <c r="A463" t="s">
        <v>2327</v>
      </c>
      <c r="B463" t="s">
        <v>2326</v>
      </c>
      <c r="C463" t="s">
        <v>2325</v>
      </c>
      <c r="D463" t="s">
        <v>2326</v>
      </c>
    </row>
    <row r="464" spans="1:4" x14ac:dyDescent="0.25">
      <c r="A464" t="s">
        <v>2332</v>
      </c>
      <c r="B464" t="s">
        <v>2329</v>
      </c>
      <c r="C464" t="s">
        <v>2331</v>
      </c>
      <c r="D464" t="s">
        <v>2329</v>
      </c>
    </row>
  </sheetData>
  <autoFilter ref="A1:D464" xr:uid="{88EF806B-B3A4-4B9B-99CC-50C2A8A662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13FD-3DAB-4105-9468-7602F8F38162}">
  <dimension ref="A1:L259"/>
  <sheetViews>
    <sheetView topLeftCell="A239" workbookViewId="0">
      <selection sqref="A1:D1"/>
    </sheetView>
  </sheetViews>
  <sheetFormatPr defaultRowHeight="15" x14ac:dyDescent="0.25"/>
  <cols>
    <col min="1" max="1" width="13.85546875" customWidth="1"/>
    <col min="2" max="2" width="79.42578125" customWidth="1"/>
    <col min="3" max="3" width="20" customWidth="1"/>
    <col min="4" max="4" width="63.85546875" customWidth="1"/>
  </cols>
  <sheetData>
    <row r="1" spans="1:12" x14ac:dyDescent="0.25">
      <c r="A1" s="4" t="s">
        <v>2347</v>
      </c>
      <c r="B1" s="4" t="s">
        <v>2340</v>
      </c>
      <c r="C1" s="2" t="s">
        <v>2350</v>
      </c>
      <c r="D1" s="1" t="s">
        <v>2349</v>
      </c>
    </row>
    <row r="2" spans="1:12" x14ac:dyDescent="0.25">
      <c r="A2" t="s">
        <v>858</v>
      </c>
      <c r="B2" t="s">
        <v>859</v>
      </c>
      <c r="C2" t="s">
        <v>856</v>
      </c>
      <c r="D2" t="s">
        <v>857</v>
      </c>
    </row>
    <row r="3" spans="1:12" x14ac:dyDescent="0.25">
      <c r="A3" t="s">
        <v>874</v>
      </c>
      <c r="B3" t="s">
        <v>875</v>
      </c>
      <c r="C3" t="s">
        <v>856</v>
      </c>
      <c r="D3" t="s">
        <v>857</v>
      </c>
    </row>
    <row r="4" spans="1:12" x14ac:dyDescent="0.25">
      <c r="A4" t="s">
        <v>894</v>
      </c>
      <c r="B4" t="s">
        <v>895</v>
      </c>
      <c r="C4" t="s">
        <v>856</v>
      </c>
      <c r="D4" t="s">
        <v>857</v>
      </c>
    </row>
    <row r="5" spans="1:12" x14ac:dyDescent="0.25">
      <c r="A5" t="s">
        <v>897</v>
      </c>
      <c r="B5" t="s">
        <v>898</v>
      </c>
      <c r="C5" t="s">
        <v>856</v>
      </c>
      <c r="D5" t="s">
        <v>857</v>
      </c>
    </row>
    <row r="6" spans="1:12" x14ac:dyDescent="0.25">
      <c r="A6" t="s">
        <v>913</v>
      </c>
      <c r="B6" t="s">
        <v>914</v>
      </c>
      <c r="C6" t="s">
        <v>856</v>
      </c>
      <c r="D6" t="s">
        <v>857</v>
      </c>
    </row>
    <row r="7" spans="1:12" x14ac:dyDescent="0.25">
      <c r="A7" t="s">
        <v>916</v>
      </c>
      <c r="B7" t="s">
        <v>917</v>
      </c>
      <c r="C7" t="s">
        <v>856</v>
      </c>
      <c r="D7" t="s">
        <v>857</v>
      </c>
    </row>
    <row r="8" spans="1:12" x14ac:dyDescent="0.25">
      <c r="A8" t="s">
        <v>926</v>
      </c>
      <c r="B8" t="s">
        <v>927</v>
      </c>
      <c r="C8" t="s">
        <v>856</v>
      </c>
      <c r="D8" t="s">
        <v>857</v>
      </c>
    </row>
    <row r="9" spans="1:12" x14ac:dyDescent="0.25">
      <c r="A9" t="s">
        <v>931</v>
      </c>
      <c r="B9" t="s">
        <v>932</v>
      </c>
      <c r="C9" t="s">
        <v>929</v>
      </c>
      <c r="D9" t="s">
        <v>930</v>
      </c>
    </row>
    <row r="10" spans="1:12" x14ac:dyDescent="0.25">
      <c r="A10" t="s">
        <v>934</v>
      </c>
      <c r="B10" t="s">
        <v>935</v>
      </c>
      <c r="C10" t="s">
        <v>929</v>
      </c>
      <c r="D10" t="s">
        <v>930</v>
      </c>
    </row>
    <row r="11" spans="1:12" x14ac:dyDescent="0.25">
      <c r="A11" t="s">
        <v>937</v>
      </c>
      <c r="B11" t="s">
        <v>938</v>
      </c>
      <c r="C11" t="s">
        <v>929</v>
      </c>
      <c r="D11" t="s">
        <v>930</v>
      </c>
    </row>
    <row r="12" spans="1:12" x14ac:dyDescent="0.25">
      <c r="A12" t="s">
        <v>940</v>
      </c>
      <c r="B12" t="s">
        <v>941</v>
      </c>
      <c r="C12" t="s">
        <v>929</v>
      </c>
      <c r="D12" t="s">
        <v>930</v>
      </c>
      <c r="L12" t="s">
        <v>2346</v>
      </c>
    </row>
    <row r="13" spans="1:12" x14ac:dyDescent="0.25">
      <c r="A13" t="s">
        <v>945</v>
      </c>
      <c r="B13" t="s">
        <v>946</v>
      </c>
      <c r="C13" t="s">
        <v>943</v>
      </c>
      <c r="D13" t="s">
        <v>944</v>
      </c>
    </row>
    <row r="14" spans="1:12" x14ac:dyDescent="0.25">
      <c r="A14" t="s">
        <v>951</v>
      </c>
      <c r="B14" t="s">
        <v>952</v>
      </c>
      <c r="C14" t="s">
        <v>943</v>
      </c>
      <c r="D14" t="s">
        <v>944</v>
      </c>
    </row>
    <row r="15" spans="1:12" x14ac:dyDescent="0.25">
      <c r="A15" t="s">
        <v>957</v>
      </c>
      <c r="B15" t="s">
        <v>958</v>
      </c>
      <c r="C15" t="s">
        <v>943</v>
      </c>
      <c r="D15" t="s">
        <v>944</v>
      </c>
    </row>
    <row r="16" spans="1:12" x14ac:dyDescent="0.25">
      <c r="A16" t="s">
        <v>964</v>
      </c>
      <c r="B16" t="s">
        <v>965</v>
      </c>
      <c r="C16" t="s">
        <v>962</v>
      </c>
      <c r="D16" t="s">
        <v>963</v>
      </c>
    </row>
    <row r="17" spans="1:4" x14ac:dyDescent="0.25">
      <c r="A17" t="s">
        <v>967</v>
      </c>
      <c r="B17" t="s">
        <v>968</v>
      </c>
      <c r="C17" t="s">
        <v>962</v>
      </c>
      <c r="D17" t="s">
        <v>963</v>
      </c>
    </row>
    <row r="18" spans="1:4" x14ac:dyDescent="0.25">
      <c r="A18" t="s">
        <v>972</v>
      </c>
      <c r="B18" t="s">
        <v>973</v>
      </c>
      <c r="C18" t="s">
        <v>970</v>
      </c>
      <c r="D18" t="s">
        <v>971</v>
      </c>
    </row>
    <row r="19" spans="1:4" x14ac:dyDescent="0.25">
      <c r="A19" t="s">
        <v>975</v>
      </c>
      <c r="B19" t="s">
        <v>976</v>
      </c>
      <c r="C19" t="s">
        <v>970</v>
      </c>
      <c r="D19" t="s">
        <v>971</v>
      </c>
    </row>
    <row r="20" spans="1:4" x14ac:dyDescent="0.25">
      <c r="A20" t="s">
        <v>980</v>
      </c>
      <c r="B20" t="s">
        <v>981</v>
      </c>
      <c r="C20" t="s">
        <v>978</v>
      </c>
      <c r="D20" t="s">
        <v>979</v>
      </c>
    </row>
    <row r="21" spans="1:4" x14ac:dyDescent="0.25">
      <c r="A21" t="s">
        <v>983</v>
      </c>
      <c r="B21" t="s">
        <v>984</v>
      </c>
      <c r="C21" t="s">
        <v>978</v>
      </c>
      <c r="D21" t="s">
        <v>979</v>
      </c>
    </row>
    <row r="22" spans="1:4" x14ac:dyDescent="0.25">
      <c r="A22" t="s">
        <v>991</v>
      </c>
      <c r="B22" t="s">
        <v>992</v>
      </c>
      <c r="C22" t="s">
        <v>989</v>
      </c>
      <c r="D22" t="s">
        <v>990</v>
      </c>
    </row>
    <row r="23" spans="1:4" x14ac:dyDescent="0.25">
      <c r="A23" t="s">
        <v>994</v>
      </c>
      <c r="B23" t="s">
        <v>995</v>
      </c>
      <c r="C23" t="s">
        <v>989</v>
      </c>
      <c r="D23" t="s">
        <v>990</v>
      </c>
    </row>
    <row r="24" spans="1:4" x14ac:dyDescent="0.25">
      <c r="A24" t="s">
        <v>1006</v>
      </c>
      <c r="B24" t="s">
        <v>1007</v>
      </c>
      <c r="C24" t="s">
        <v>1004</v>
      </c>
      <c r="D24" t="s">
        <v>1005</v>
      </c>
    </row>
    <row r="25" spans="1:4" x14ac:dyDescent="0.25">
      <c r="A25" t="s">
        <v>1009</v>
      </c>
      <c r="B25" t="s">
        <v>1010</v>
      </c>
      <c r="C25" t="s">
        <v>1004</v>
      </c>
      <c r="D25" t="s">
        <v>1005</v>
      </c>
    </row>
    <row r="26" spans="1:4" x14ac:dyDescent="0.25">
      <c r="A26" t="s">
        <v>1016</v>
      </c>
      <c r="B26" t="s">
        <v>1017</v>
      </c>
      <c r="C26" t="s">
        <v>1014</v>
      </c>
      <c r="D26" t="s">
        <v>1015</v>
      </c>
    </row>
    <row r="27" spans="1:4" x14ac:dyDescent="0.25">
      <c r="A27" t="s">
        <v>1019</v>
      </c>
      <c r="B27" t="s">
        <v>1020</v>
      </c>
      <c r="C27" t="s">
        <v>1014</v>
      </c>
      <c r="D27" t="s">
        <v>1015</v>
      </c>
    </row>
    <row r="28" spans="1:4" x14ac:dyDescent="0.25">
      <c r="A28" t="s">
        <v>1022</v>
      </c>
      <c r="B28" t="s">
        <v>1023</v>
      </c>
      <c r="C28" t="s">
        <v>1014</v>
      </c>
      <c r="D28" t="s">
        <v>1015</v>
      </c>
    </row>
    <row r="29" spans="1:4" x14ac:dyDescent="0.25">
      <c r="A29" t="s">
        <v>1025</v>
      </c>
      <c r="B29" t="s">
        <v>1026</v>
      </c>
      <c r="C29" t="s">
        <v>1014</v>
      </c>
      <c r="D29" t="s">
        <v>1015</v>
      </c>
    </row>
    <row r="30" spans="1:4" x14ac:dyDescent="0.25">
      <c r="A30" t="s">
        <v>1028</v>
      </c>
      <c r="B30" t="s">
        <v>1029</v>
      </c>
      <c r="C30" t="s">
        <v>1014</v>
      </c>
      <c r="D30" t="s">
        <v>1015</v>
      </c>
    </row>
    <row r="31" spans="1:4" x14ac:dyDescent="0.25">
      <c r="A31" t="s">
        <v>1031</v>
      </c>
      <c r="B31" t="s">
        <v>1032</v>
      </c>
      <c r="C31" t="s">
        <v>1014</v>
      </c>
      <c r="D31" t="s">
        <v>1015</v>
      </c>
    </row>
    <row r="32" spans="1:4" x14ac:dyDescent="0.25">
      <c r="A32" t="s">
        <v>1037</v>
      </c>
      <c r="B32" t="s">
        <v>1038</v>
      </c>
      <c r="C32" t="s">
        <v>1014</v>
      </c>
      <c r="D32" t="s">
        <v>1015</v>
      </c>
    </row>
    <row r="33" spans="1:4" x14ac:dyDescent="0.25">
      <c r="A33" t="s">
        <v>1053</v>
      </c>
      <c r="B33" t="s">
        <v>1054</v>
      </c>
      <c r="C33" t="s">
        <v>1014</v>
      </c>
      <c r="D33" t="s">
        <v>1015</v>
      </c>
    </row>
    <row r="34" spans="1:4" x14ac:dyDescent="0.25">
      <c r="A34" t="s">
        <v>1058</v>
      </c>
      <c r="B34" t="s">
        <v>1057</v>
      </c>
      <c r="C34" t="s">
        <v>1056</v>
      </c>
      <c r="D34" t="s">
        <v>1057</v>
      </c>
    </row>
    <row r="35" spans="1:4" x14ac:dyDescent="0.25">
      <c r="A35" t="s">
        <v>1071</v>
      </c>
      <c r="B35" t="s">
        <v>1070</v>
      </c>
      <c r="C35" t="s">
        <v>1069</v>
      </c>
      <c r="D35" t="s">
        <v>1070</v>
      </c>
    </row>
    <row r="36" spans="1:4" x14ac:dyDescent="0.25">
      <c r="A36" t="s">
        <v>1075</v>
      </c>
      <c r="B36" t="s">
        <v>1076</v>
      </c>
      <c r="C36" t="s">
        <v>1073</v>
      </c>
      <c r="D36" t="s">
        <v>1074</v>
      </c>
    </row>
    <row r="37" spans="1:4" x14ac:dyDescent="0.25">
      <c r="A37" t="s">
        <v>1083</v>
      </c>
      <c r="B37" t="s">
        <v>1084</v>
      </c>
      <c r="C37" t="s">
        <v>1073</v>
      </c>
      <c r="D37" t="s">
        <v>1074</v>
      </c>
    </row>
    <row r="38" spans="1:4" x14ac:dyDescent="0.25">
      <c r="A38" t="s">
        <v>1097</v>
      </c>
      <c r="B38" t="s">
        <v>1098</v>
      </c>
      <c r="C38" t="s">
        <v>1095</v>
      </c>
      <c r="D38" t="s">
        <v>1096</v>
      </c>
    </row>
    <row r="39" spans="1:4" x14ac:dyDescent="0.25">
      <c r="A39" t="s">
        <v>1100</v>
      </c>
      <c r="B39" t="s">
        <v>1101</v>
      </c>
      <c r="C39" t="s">
        <v>1095</v>
      </c>
      <c r="D39" t="s">
        <v>1096</v>
      </c>
    </row>
    <row r="40" spans="1:4" x14ac:dyDescent="0.25">
      <c r="A40" t="s">
        <v>1103</v>
      </c>
      <c r="B40" t="s">
        <v>1104</v>
      </c>
      <c r="C40" t="s">
        <v>1095</v>
      </c>
      <c r="D40" t="s">
        <v>1096</v>
      </c>
    </row>
    <row r="41" spans="1:4" x14ac:dyDescent="0.25">
      <c r="A41" t="s">
        <v>1108</v>
      </c>
      <c r="B41" t="s">
        <v>1109</v>
      </c>
      <c r="C41" t="s">
        <v>1106</v>
      </c>
      <c r="D41" t="s">
        <v>1107</v>
      </c>
    </row>
    <row r="42" spans="1:4" x14ac:dyDescent="0.25">
      <c r="A42" t="s">
        <v>1114</v>
      </c>
      <c r="B42" t="s">
        <v>1115</v>
      </c>
      <c r="C42" t="s">
        <v>1106</v>
      </c>
      <c r="D42" t="s">
        <v>1107</v>
      </c>
    </row>
    <row r="43" spans="1:4" x14ac:dyDescent="0.25">
      <c r="A43" t="s">
        <v>1119</v>
      </c>
      <c r="B43" t="s">
        <v>1120</v>
      </c>
      <c r="C43" t="s">
        <v>1117</v>
      </c>
      <c r="D43" t="s">
        <v>1118</v>
      </c>
    </row>
    <row r="44" spans="1:4" x14ac:dyDescent="0.25">
      <c r="A44" t="s">
        <v>1122</v>
      </c>
      <c r="B44" t="s">
        <v>1123</v>
      </c>
      <c r="C44" t="s">
        <v>1117</v>
      </c>
      <c r="D44" t="s">
        <v>1118</v>
      </c>
    </row>
    <row r="45" spans="1:4" x14ac:dyDescent="0.25">
      <c r="A45" t="s">
        <v>1134</v>
      </c>
      <c r="B45" t="s">
        <v>1133</v>
      </c>
      <c r="C45" t="s">
        <v>1132</v>
      </c>
      <c r="D45" t="s">
        <v>1133</v>
      </c>
    </row>
    <row r="46" spans="1:4" x14ac:dyDescent="0.25">
      <c r="A46" t="s">
        <v>1143</v>
      </c>
      <c r="B46" t="s">
        <v>1144</v>
      </c>
      <c r="C46" t="s">
        <v>1141</v>
      </c>
      <c r="D46" t="s">
        <v>1142</v>
      </c>
    </row>
    <row r="47" spans="1:4" x14ac:dyDescent="0.25">
      <c r="A47" t="s">
        <v>1149</v>
      </c>
      <c r="B47" t="s">
        <v>1150</v>
      </c>
      <c r="C47" t="s">
        <v>1141</v>
      </c>
      <c r="D47" t="s">
        <v>1142</v>
      </c>
    </row>
    <row r="48" spans="1:4" x14ac:dyDescent="0.25">
      <c r="A48" t="s">
        <v>1154</v>
      </c>
      <c r="B48" t="s">
        <v>1155</v>
      </c>
      <c r="C48" t="s">
        <v>1152</v>
      </c>
      <c r="D48" t="s">
        <v>1153</v>
      </c>
    </row>
    <row r="49" spans="1:4" x14ac:dyDescent="0.25">
      <c r="A49" t="s">
        <v>1157</v>
      </c>
      <c r="B49" t="s">
        <v>1158</v>
      </c>
      <c r="C49" t="s">
        <v>1152</v>
      </c>
      <c r="D49" t="s">
        <v>1153</v>
      </c>
    </row>
    <row r="50" spans="1:4" x14ac:dyDescent="0.25">
      <c r="A50" t="s">
        <v>1162</v>
      </c>
      <c r="B50" t="s">
        <v>1163</v>
      </c>
      <c r="C50" t="s">
        <v>1160</v>
      </c>
      <c r="D50" t="s">
        <v>1161</v>
      </c>
    </row>
    <row r="51" spans="1:4" x14ac:dyDescent="0.25">
      <c r="A51" t="s">
        <v>1170</v>
      </c>
      <c r="B51" t="s">
        <v>1171</v>
      </c>
      <c r="C51" t="s">
        <v>1160</v>
      </c>
      <c r="D51" t="s">
        <v>1161</v>
      </c>
    </row>
    <row r="52" spans="1:4" x14ac:dyDescent="0.25">
      <c r="A52" t="s">
        <v>1180</v>
      </c>
      <c r="B52" t="s">
        <v>1181</v>
      </c>
      <c r="C52" t="s">
        <v>1160</v>
      </c>
      <c r="D52" t="s">
        <v>1161</v>
      </c>
    </row>
    <row r="53" spans="1:4" x14ac:dyDescent="0.25">
      <c r="A53" t="s">
        <v>1185</v>
      </c>
      <c r="B53" t="s">
        <v>1186</v>
      </c>
      <c r="C53" t="s">
        <v>1183</v>
      </c>
      <c r="D53" t="s">
        <v>1184</v>
      </c>
    </row>
    <row r="54" spans="1:4" x14ac:dyDescent="0.25">
      <c r="A54" t="s">
        <v>1190</v>
      </c>
      <c r="B54" t="s">
        <v>1191</v>
      </c>
      <c r="C54" t="s">
        <v>1188</v>
      </c>
      <c r="D54" t="s">
        <v>1189</v>
      </c>
    </row>
    <row r="55" spans="1:4" x14ac:dyDescent="0.25">
      <c r="A55" t="s">
        <v>1196</v>
      </c>
      <c r="B55" t="s">
        <v>1197</v>
      </c>
      <c r="C55" t="s">
        <v>1188</v>
      </c>
      <c r="D55" t="s">
        <v>1189</v>
      </c>
    </row>
    <row r="56" spans="1:4" x14ac:dyDescent="0.25">
      <c r="A56" t="s">
        <v>1201</v>
      </c>
      <c r="B56" t="s">
        <v>1202</v>
      </c>
      <c r="C56" t="s">
        <v>1199</v>
      </c>
      <c r="D56" t="s">
        <v>1200</v>
      </c>
    </row>
    <row r="57" spans="1:4" x14ac:dyDescent="0.25">
      <c r="A57" t="s">
        <v>1204</v>
      </c>
      <c r="B57" t="s">
        <v>1205</v>
      </c>
      <c r="C57" t="s">
        <v>1199</v>
      </c>
      <c r="D57" t="s">
        <v>1200</v>
      </c>
    </row>
    <row r="58" spans="1:4" x14ac:dyDescent="0.25">
      <c r="A58" t="s">
        <v>1222</v>
      </c>
      <c r="B58" t="s">
        <v>1223</v>
      </c>
      <c r="C58" t="s">
        <v>1220</v>
      </c>
      <c r="D58" t="s">
        <v>1221</v>
      </c>
    </row>
    <row r="59" spans="1:4" x14ac:dyDescent="0.25">
      <c r="A59" t="s">
        <v>1225</v>
      </c>
      <c r="B59" t="s">
        <v>1226</v>
      </c>
      <c r="C59" t="s">
        <v>1220</v>
      </c>
      <c r="D59" t="s">
        <v>1221</v>
      </c>
    </row>
    <row r="60" spans="1:4" x14ac:dyDescent="0.25">
      <c r="A60" t="s">
        <v>1228</v>
      </c>
      <c r="B60" t="s">
        <v>1229</v>
      </c>
      <c r="C60" t="s">
        <v>1220</v>
      </c>
      <c r="D60" t="s">
        <v>1221</v>
      </c>
    </row>
    <row r="61" spans="1:4" x14ac:dyDescent="0.25">
      <c r="A61" t="s">
        <v>1236</v>
      </c>
      <c r="B61" t="s">
        <v>1237</v>
      </c>
      <c r="C61" t="s">
        <v>1234</v>
      </c>
      <c r="D61" t="s">
        <v>1235</v>
      </c>
    </row>
    <row r="62" spans="1:4" x14ac:dyDescent="0.25">
      <c r="A62" t="s">
        <v>1244</v>
      </c>
      <c r="B62" t="s">
        <v>1245</v>
      </c>
      <c r="C62" t="s">
        <v>1234</v>
      </c>
      <c r="D62" t="s">
        <v>1235</v>
      </c>
    </row>
    <row r="63" spans="1:4" x14ac:dyDescent="0.25">
      <c r="A63" t="s">
        <v>1247</v>
      </c>
      <c r="B63" t="s">
        <v>1248</v>
      </c>
      <c r="C63" t="s">
        <v>1234</v>
      </c>
      <c r="D63" t="s">
        <v>1235</v>
      </c>
    </row>
    <row r="64" spans="1:4" x14ac:dyDescent="0.25">
      <c r="A64" t="s">
        <v>1259</v>
      </c>
      <c r="B64" t="s">
        <v>1260</v>
      </c>
      <c r="C64" t="s">
        <v>1257</v>
      </c>
      <c r="D64" t="s">
        <v>1258</v>
      </c>
    </row>
    <row r="65" spans="1:4" x14ac:dyDescent="0.25">
      <c r="A65" t="s">
        <v>1265</v>
      </c>
      <c r="B65" t="s">
        <v>1266</v>
      </c>
      <c r="C65" t="s">
        <v>1257</v>
      </c>
      <c r="D65" t="s">
        <v>1258</v>
      </c>
    </row>
    <row r="66" spans="1:4" x14ac:dyDescent="0.25">
      <c r="A66" t="s">
        <v>1268</v>
      </c>
      <c r="B66" t="s">
        <v>1269</v>
      </c>
      <c r="C66" t="s">
        <v>1257</v>
      </c>
      <c r="D66" t="s">
        <v>1258</v>
      </c>
    </row>
    <row r="67" spans="1:4" x14ac:dyDescent="0.25">
      <c r="A67" t="s">
        <v>1271</v>
      </c>
      <c r="B67" t="s">
        <v>1272</v>
      </c>
      <c r="C67" t="s">
        <v>1257</v>
      </c>
      <c r="D67" t="s">
        <v>1258</v>
      </c>
    </row>
    <row r="68" spans="1:4" x14ac:dyDescent="0.25">
      <c r="A68" t="s">
        <v>1274</v>
      </c>
      <c r="B68" t="s">
        <v>1275</v>
      </c>
      <c r="C68" t="s">
        <v>1257</v>
      </c>
      <c r="D68" t="s">
        <v>1258</v>
      </c>
    </row>
    <row r="69" spans="1:4" x14ac:dyDescent="0.25">
      <c r="A69" t="s">
        <v>1280</v>
      </c>
      <c r="B69" t="s">
        <v>1281</v>
      </c>
      <c r="C69" t="s">
        <v>1257</v>
      </c>
      <c r="D69" t="s">
        <v>1258</v>
      </c>
    </row>
    <row r="70" spans="1:4" x14ac:dyDescent="0.25">
      <c r="A70" t="s">
        <v>1283</v>
      </c>
      <c r="B70" t="s">
        <v>1284</v>
      </c>
      <c r="C70" t="s">
        <v>1257</v>
      </c>
      <c r="D70" t="s">
        <v>1258</v>
      </c>
    </row>
    <row r="71" spans="1:4" x14ac:dyDescent="0.25">
      <c r="A71" t="s">
        <v>1286</v>
      </c>
      <c r="B71" t="s">
        <v>1287</v>
      </c>
      <c r="C71" t="s">
        <v>1257</v>
      </c>
      <c r="D71" t="s">
        <v>1258</v>
      </c>
    </row>
    <row r="72" spans="1:4" x14ac:dyDescent="0.25">
      <c r="A72" t="s">
        <v>1291</v>
      </c>
      <c r="B72" t="s">
        <v>1292</v>
      </c>
      <c r="C72" t="s">
        <v>1289</v>
      </c>
      <c r="D72" t="s">
        <v>1290</v>
      </c>
    </row>
    <row r="73" spans="1:4" x14ac:dyDescent="0.25">
      <c r="A73" t="s">
        <v>1294</v>
      </c>
      <c r="B73" t="s">
        <v>1295</v>
      </c>
      <c r="C73" t="s">
        <v>1289</v>
      </c>
      <c r="D73" t="s">
        <v>1290</v>
      </c>
    </row>
    <row r="74" spans="1:4" x14ac:dyDescent="0.25">
      <c r="A74" t="s">
        <v>1297</v>
      </c>
      <c r="B74" t="s">
        <v>1298</v>
      </c>
      <c r="C74" t="s">
        <v>1289</v>
      </c>
      <c r="D74" t="s">
        <v>1290</v>
      </c>
    </row>
    <row r="75" spans="1:4" x14ac:dyDescent="0.25">
      <c r="A75" t="s">
        <v>1305</v>
      </c>
      <c r="B75" t="s">
        <v>1306</v>
      </c>
      <c r="C75" t="s">
        <v>1289</v>
      </c>
      <c r="D75" t="s">
        <v>1290</v>
      </c>
    </row>
    <row r="76" spans="1:4" x14ac:dyDescent="0.25">
      <c r="A76" t="s">
        <v>1308</v>
      </c>
      <c r="B76" t="s">
        <v>1309</v>
      </c>
      <c r="C76" t="s">
        <v>1289</v>
      </c>
      <c r="D76" t="s">
        <v>1290</v>
      </c>
    </row>
    <row r="77" spans="1:4" x14ac:dyDescent="0.25">
      <c r="A77" t="s">
        <v>1311</v>
      </c>
      <c r="B77" t="s">
        <v>1312</v>
      </c>
      <c r="C77" t="s">
        <v>1289</v>
      </c>
      <c r="D77" t="s">
        <v>1290</v>
      </c>
    </row>
    <row r="78" spans="1:4" x14ac:dyDescent="0.25">
      <c r="A78" t="s">
        <v>1316</v>
      </c>
      <c r="B78" t="s">
        <v>1317</v>
      </c>
      <c r="C78" t="s">
        <v>1314</v>
      </c>
      <c r="D78" t="s">
        <v>1315</v>
      </c>
    </row>
    <row r="79" spans="1:4" x14ac:dyDescent="0.25">
      <c r="A79" t="s">
        <v>1336</v>
      </c>
      <c r="B79" t="s">
        <v>1337</v>
      </c>
      <c r="C79" t="s">
        <v>1314</v>
      </c>
      <c r="D79" t="s">
        <v>1315</v>
      </c>
    </row>
    <row r="80" spans="1:4" x14ac:dyDescent="0.25">
      <c r="A80" t="s">
        <v>1354</v>
      </c>
      <c r="B80" t="s">
        <v>1355</v>
      </c>
      <c r="C80" t="s">
        <v>1352</v>
      </c>
      <c r="D80" t="s">
        <v>1353</v>
      </c>
    </row>
    <row r="81" spans="1:4" x14ac:dyDescent="0.25">
      <c r="A81" t="s">
        <v>1357</v>
      </c>
      <c r="B81" t="s">
        <v>1358</v>
      </c>
      <c r="C81" t="s">
        <v>1352</v>
      </c>
      <c r="D81" t="s">
        <v>1353</v>
      </c>
    </row>
    <row r="82" spans="1:4" x14ac:dyDescent="0.25">
      <c r="A82" t="s">
        <v>1360</v>
      </c>
      <c r="B82" t="s">
        <v>1361</v>
      </c>
      <c r="C82" t="s">
        <v>1352</v>
      </c>
      <c r="D82" t="s">
        <v>1353</v>
      </c>
    </row>
    <row r="83" spans="1:4" x14ac:dyDescent="0.25">
      <c r="A83" t="s">
        <v>1365</v>
      </c>
      <c r="B83" t="s">
        <v>1366</v>
      </c>
      <c r="C83" t="s">
        <v>1363</v>
      </c>
      <c r="D83" t="s">
        <v>1364</v>
      </c>
    </row>
    <row r="84" spans="1:4" x14ac:dyDescent="0.25">
      <c r="A84" t="s">
        <v>1371</v>
      </c>
      <c r="B84" t="s">
        <v>1372</v>
      </c>
      <c r="C84" t="s">
        <v>1363</v>
      </c>
      <c r="D84" t="s">
        <v>1364</v>
      </c>
    </row>
    <row r="85" spans="1:4" x14ac:dyDescent="0.25">
      <c r="A85" t="s">
        <v>1374</v>
      </c>
      <c r="B85" t="s">
        <v>1375</v>
      </c>
      <c r="C85" t="s">
        <v>1363</v>
      </c>
      <c r="D85" t="s">
        <v>1364</v>
      </c>
    </row>
    <row r="86" spans="1:4" x14ac:dyDescent="0.25">
      <c r="A86" t="s">
        <v>1377</v>
      </c>
      <c r="B86" t="s">
        <v>1378</v>
      </c>
      <c r="C86" t="s">
        <v>1363</v>
      </c>
      <c r="D86" t="s">
        <v>1364</v>
      </c>
    </row>
    <row r="87" spans="1:4" x14ac:dyDescent="0.25">
      <c r="A87" t="s">
        <v>1380</v>
      </c>
      <c r="B87" t="s">
        <v>1381</v>
      </c>
      <c r="C87" t="s">
        <v>1363</v>
      </c>
      <c r="D87" t="s">
        <v>1364</v>
      </c>
    </row>
    <row r="88" spans="1:4" x14ac:dyDescent="0.25">
      <c r="A88" t="s">
        <v>1390</v>
      </c>
      <c r="B88" t="s">
        <v>1389</v>
      </c>
      <c r="C88" t="s">
        <v>1388</v>
      </c>
      <c r="D88" t="s">
        <v>1389</v>
      </c>
    </row>
    <row r="89" spans="1:4" x14ac:dyDescent="0.25">
      <c r="A89" t="s">
        <v>1397</v>
      </c>
      <c r="B89" t="s">
        <v>1398</v>
      </c>
      <c r="C89" t="s">
        <v>1395</v>
      </c>
      <c r="D89" t="s">
        <v>1396</v>
      </c>
    </row>
    <row r="90" spans="1:4" x14ac:dyDescent="0.25">
      <c r="A90" t="s">
        <v>1403</v>
      </c>
      <c r="B90" t="s">
        <v>1404</v>
      </c>
      <c r="C90" t="s">
        <v>1395</v>
      </c>
      <c r="D90" t="s">
        <v>1396</v>
      </c>
    </row>
    <row r="91" spans="1:4" x14ac:dyDescent="0.25">
      <c r="A91" t="s">
        <v>1406</v>
      </c>
      <c r="B91" t="s">
        <v>1407</v>
      </c>
      <c r="C91" t="s">
        <v>1395</v>
      </c>
      <c r="D91" t="s">
        <v>1396</v>
      </c>
    </row>
    <row r="92" spans="1:4" x14ac:dyDescent="0.25">
      <c r="A92" t="s">
        <v>1409</v>
      </c>
      <c r="B92" t="s">
        <v>1410</v>
      </c>
      <c r="C92" t="s">
        <v>1395</v>
      </c>
      <c r="D92" t="s">
        <v>1396</v>
      </c>
    </row>
    <row r="93" spans="1:4" x14ac:dyDescent="0.25">
      <c r="A93" t="s">
        <v>1412</v>
      </c>
      <c r="B93" t="s">
        <v>1413</v>
      </c>
      <c r="C93" t="s">
        <v>1395</v>
      </c>
      <c r="D93" t="s">
        <v>1396</v>
      </c>
    </row>
    <row r="94" spans="1:4" x14ac:dyDescent="0.25">
      <c r="A94" t="s">
        <v>1415</v>
      </c>
      <c r="B94" t="s">
        <v>1416</v>
      </c>
      <c r="C94" t="s">
        <v>1395</v>
      </c>
      <c r="D94" t="s">
        <v>1396</v>
      </c>
    </row>
    <row r="95" spans="1:4" x14ac:dyDescent="0.25">
      <c r="A95" t="s">
        <v>1420</v>
      </c>
      <c r="B95" t="s">
        <v>1421</v>
      </c>
      <c r="C95" t="s">
        <v>1418</v>
      </c>
      <c r="D95" t="s">
        <v>1419</v>
      </c>
    </row>
    <row r="96" spans="1:4" x14ac:dyDescent="0.25">
      <c r="A96" t="s">
        <v>1434</v>
      </c>
      <c r="B96" t="s">
        <v>1435</v>
      </c>
      <c r="C96" t="s">
        <v>1418</v>
      </c>
      <c r="D96" t="s">
        <v>1419</v>
      </c>
    </row>
    <row r="97" spans="1:4" x14ac:dyDescent="0.25">
      <c r="A97" t="s">
        <v>1440</v>
      </c>
      <c r="B97" t="s">
        <v>1441</v>
      </c>
      <c r="C97" t="s">
        <v>1439</v>
      </c>
      <c r="D97" t="s">
        <v>1438</v>
      </c>
    </row>
    <row r="98" spans="1:4" x14ac:dyDescent="0.25">
      <c r="A98" t="s">
        <v>1448</v>
      </c>
      <c r="B98" t="s">
        <v>1449</v>
      </c>
      <c r="C98" t="s">
        <v>1439</v>
      </c>
      <c r="D98" t="s">
        <v>1438</v>
      </c>
    </row>
    <row r="99" spans="1:4" x14ac:dyDescent="0.25">
      <c r="A99" t="s">
        <v>1451</v>
      </c>
      <c r="B99" t="s">
        <v>1452</v>
      </c>
      <c r="C99" t="s">
        <v>1439</v>
      </c>
      <c r="D99" t="s">
        <v>1438</v>
      </c>
    </row>
    <row r="100" spans="1:4" x14ac:dyDescent="0.25">
      <c r="A100" t="s">
        <v>1454</v>
      </c>
      <c r="B100" t="s">
        <v>1455</v>
      </c>
      <c r="C100" t="s">
        <v>1439</v>
      </c>
      <c r="D100" t="s">
        <v>1438</v>
      </c>
    </row>
    <row r="101" spans="1:4" x14ac:dyDescent="0.25">
      <c r="A101" t="s">
        <v>1461</v>
      </c>
      <c r="B101" t="s">
        <v>1460</v>
      </c>
      <c r="C101" t="s">
        <v>1459</v>
      </c>
      <c r="D101" t="s">
        <v>1460</v>
      </c>
    </row>
    <row r="102" spans="1:4" x14ac:dyDescent="0.25">
      <c r="A102" t="s">
        <v>1465</v>
      </c>
      <c r="B102" t="s">
        <v>1464</v>
      </c>
      <c r="C102" t="s">
        <v>1463</v>
      </c>
      <c r="D102" t="s">
        <v>1464</v>
      </c>
    </row>
    <row r="103" spans="1:4" x14ac:dyDescent="0.25">
      <c r="A103" t="s">
        <v>1469</v>
      </c>
      <c r="B103" t="s">
        <v>1470</v>
      </c>
      <c r="C103" t="s">
        <v>1467</v>
      </c>
      <c r="D103" t="s">
        <v>1468</v>
      </c>
    </row>
    <row r="104" spans="1:4" x14ac:dyDescent="0.25">
      <c r="A104" t="s">
        <v>1475</v>
      </c>
      <c r="B104" t="s">
        <v>1476</v>
      </c>
      <c r="C104" t="s">
        <v>1467</v>
      </c>
      <c r="D104" t="s">
        <v>1468</v>
      </c>
    </row>
    <row r="105" spans="1:4" x14ac:dyDescent="0.25">
      <c r="A105" t="s">
        <v>1481</v>
      </c>
      <c r="B105" t="s">
        <v>1482</v>
      </c>
      <c r="C105" t="s">
        <v>1467</v>
      </c>
      <c r="D105" t="s">
        <v>1468</v>
      </c>
    </row>
    <row r="106" spans="1:4" x14ac:dyDescent="0.25">
      <c r="A106" t="s">
        <v>1486</v>
      </c>
      <c r="B106" t="s">
        <v>1485</v>
      </c>
      <c r="C106" t="s">
        <v>1484</v>
      </c>
      <c r="D106" t="s">
        <v>1485</v>
      </c>
    </row>
    <row r="107" spans="1:4" x14ac:dyDescent="0.25">
      <c r="A107" t="s">
        <v>1492</v>
      </c>
      <c r="B107" t="s">
        <v>1491</v>
      </c>
      <c r="C107" t="s">
        <v>1490</v>
      </c>
      <c r="D107" t="s">
        <v>1491</v>
      </c>
    </row>
    <row r="108" spans="1:4" x14ac:dyDescent="0.25">
      <c r="A108" t="s">
        <v>1496</v>
      </c>
      <c r="B108" t="s">
        <v>1497</v>
      </c>
      <c r="C108" t="s">
        <v>1494</v>
      </c>
      <c r="D108" t="s">
        <v>1495</v>
      </c>
    </row>
    <row r="109" spans="1:4" x14ac:dyDescent="0.25">
      <c r="A109" t="s">
        <v>1499</v>
      </c>
      <c r="B109" t="s">
        <v>1500</v>
      </c>
      <c r="C109" t="s">
        <v>1494</v>
      </c>
      <c r="D109" t="s">
        <v>1495</v>
      </c>
    </row>
    <row r="110" spans="1:4" x14ac:dyDescent="0.25">
      <c r="A110" t="s">
        <v>1502</v>
      </c>
      <c r="B110" t="s">
        <v>1503</v>
      </c>
      <c r="C110" t="s">
        <v>1494</v>
      </c>
      <c r="D110" t="s">
        <v>1495</v>
      </c>
    </row>
    <row r="111" spans="1:4" x14ac:dyDescent="0.25">
      <c r="A111" t="s">
        <v>1507</v>
      </c>
      <c r="B111" t="s">
        <v>1508</v>
      </c>
      <c r="C111" t="s">
        <v>1505</v>
      </c>
      <c r="D111" t="s">
        <v>1506</v>
      </c>
    </row>
    <row r="112" spans="1:4" x14ac:dyDescent="0.25">
      <c r="A112" t="s">
        <v>1513</v>
      </c>
      <c r="B112" t="s">
        <v>1514</v>
      </c>
      <c r="C112" t="s">
        <v>1505</v>
      </c>
      <c r="D112" t="s">
        <v>1506</v>
      </c>
    </row>
    <row r="113" spans="1:4" x14ac:dyDescent="0.25">
      <c r="A113" t="s">
        <v>1521</v>
      </c>
      <c r="B113" t="s">
        <v>1522</v>
      </c>
      <c r="C113" t="s">
        <v>1505</v>
      </c>
      <c r="D113" t="s">
        <v>1506</v>
      </c>
    </row>
    <row r="114" spans="1:4" x14ac:dyDescent="0.25">
      <c r="A114" t="s">
        <v>1524</v>
      </c>
      <c r="B114" t="s">
        <v>1525</v>
      </c>
      <c r="C114" t="s">
        <v>1505</v>
      </c>
      <c r="D114" t="s">
        <v>1506</v>
      </c>
    </row>
    <row r="115" spans="1:4" x14ac:dyDescent="0.25">
      <c r="A115" t="s">
        <v>1527</v>
      </c>
      <c r="B115" t="s">
        <v>1528</v>
      </c>
      <c r="C115" t="s">
        <v>1505</v>
      </c>
      <c r="D115" t="s">
        <v>1506</v>
      </c>
    </row>
    <row r="116" spans="1:4" x14ac:dyDescent="0.25">
      <c r="A116" t="s">
        <v>1534</v>
      </c>
      <c r="B116" t="s">
        <v>1535</v>
      </c>
      <c r="C116" t="s">
        <v>1532</v>
      </c>
      <c r="D116" t="s">
        <v>1533</v>
      </c>
    </row>
    <row r="117" spans="1:4" x14ac:dyDescent="0.25">
      <c r="A117" t="s">
        <v>1537</v>
      </c>
      <c r="B117" t="s">
        <v>1538</v>
      </c>
      <c r="C117" t="s">
        <v>1532</v>
      </c>
      <c r="D117" t="s">
        <v>1533</v>
      </c>
    </row>
    <row r="118" spans="1:4" x14ac:dyDescent="0.25">
      <c r="A118" t="s">
        <v>1540</v>
      </c>
      <c r="B118" t="s">
        <v>1541</v>
      </c>
      <c r="C118" t="s">
        <v>1532</v>
      </c>
      <c r="D118" t="s">
        <v>1533</v>
      </c>
    </row>
    <row r="119" spans="1:4" x14ac:dyDescent="0.25">
      <c r="A119" t="s">
        <v>1543</v>
      </c>
      <c r="B119" t="s">
        <v>1544</v>
      </c>
      <c r="C119" t="s">
        <v>1532</v>
      </c>
      <c r="D119" t="s">
        <v>1533</v>
      </c>
    </row>
    <row r="120" spans="1:4" x14ac:dyDescent="0.25">
      <c r="A120" t="s">
        <v>1551</v>
      </c>
      <c r="B120" t="s">
        <v>1552</v>
      </c>
      <c r="C120" t="s">
        <v>1532</v>
      </c>
      <c r="D120" t="s">
        <v>1533</v>
      </c>
    </row>
    <row r="121" spans="1:4" x14ac:dyDescent="0.25">
      <c r="A121" t="s">
        <v>1561</v>
      </c>
      <c r="B121" t="s">
        <v>1562</v>
      </c>
      <c r="C121" t="s">
        <v>1532</v>
      </c>
      <c r="D121" t="s">
        <v>1533</v>
      </c>
    </row>
    <row r="122" spans="1:4" x14ac:dyDescent="0.25">
      <c r="A122" t="s">
        <v>1569</v>
      </c>
      <c r="B122" t="s">
        <v>1570</v>
      </c>
      <c r="C122" t="s">
        <v>1532</v>
      </c>
      <c r="D122" t="s">
        <v>1533</v>
      </c>
    </row>
    <row r="123" spans="1:4" x14ac:dyDescent="0.25">
      <c r="A123" t="s">
        <v>1579</v>
      </c>
      <c r="B123" t="s">
        <v>1580</v>
      </c>
      <c r="C123" t="s">
        <v>1532</v>
      </c>
      <c r="D123" t="s">
        <v>1533</v>
      </c>
    </row>
    <row r="124" spans="1:4" x14ac:dyDescent="0.25">
      <c r="A124" t="s">
        <v>1584</v>
      </c>
      <c r="B124" t="s">
        <v>1585</v>
      </c>
      <c r="C124" t="s">
        <v>1582</v>
      </c>
      <c r="D124" t="s">
        <v>1583</v>
      </c>
    </row>
    <row r="125" spans="1:4" x14ac:dyDescent="0.25">
      <c r="A125" t="s">
        <v>1590</v>
      </c>
      <c r="B125" t="s">
        <v>1591</v>
      </c>
      <c r="C125" t="s">
        <v>1582</v>
      </c>
      <c r="D125" t="s">
        <v>1583</v>
      </c>
    </row>
    <row r="126" spans="1:4" x14ac:dyDescent="0.25">
      <c r="A126" t="s">
        <v>1598</v>
      </c>
      <c r="B126" t="s">
        <v>1599</v>
      </c>
      <c r="C126" t="s">
        <v>1582</v>
      </c>
      <c r="D126" t="s">
        <v>1583</v>
      </c>
    </row>
    <row r="127" spans="1:4" x14ac:dyDescent="0.25">
      <c r="A127" t="s">
        <v>1601</v>
      </c>
      <c r="B127" t="s">
        <v>1602</v>
      </c>
      <c r="C127" t="s">
        <v>1582</v>
      </c>
      <c r="D127" t="s">
        <v>1583</v>
      </c>
    </row>
    <row r="128" spans="1:4" x14ac:dyDescent="0.25">
      <c r="A128" t="s">
        <v>1604</v>
      </c>
      <c r="B128" t="s">
        <v>1605</v>
      </c>
      <c r="C128" t="s">
        <v>1582</v>
      </c>
      <c r="D128" t="s">
        <v>1583</v>
      </c>
    </row>
    <row r="129" spans="1:4" x14ac:dyDescent="0.25">
      <c r="A129" t="s">
        <v>1614</v>
      </c>
      <c r="B129" t="s">
        <v>1615</v>
      </c>
      <c r="C129" t="s">
        <v>1582</v>
      </c>
      <c r="D129" t="s">
        <v>1583</v>
      </c>
    </row>
    <row r="130" spans="1:4" x14ac:dyDescent="0.25">
      <c r="A130" t="s">
        <v>1624</v>
      </c>
      <c r="B130" t="s">
        <v>1625</v>
      </c>
      <c r="C130" t="s">
        <v>1582</v>
      </c>
      <c r="D130" t="s">
        <v>1583</v>
      </c>
    </row>
    <row r="131" spans="1:4" x14ac:dyDescent="0.25">
      <c r="A131" t="s">
        <v>1634</v>
      </c>
      <c r="B131" t="s">
        <v>1635</v>
      </c>
      <c r="C131" t="s">
        <v>1582</v>
      </c>
      <c r="D131" t="s">
        <v>1583</v>
      </c>
    </row>
    <row r="132" spans="1:4" x14ac:dyDescent="0.25">
      <c r="A132" t="s">
        <v>1642</v>
      </c>
      <c r="B132" t="s">
        <v>1643</v>
      </c>
      <c r="C132" t="s">
        <v>1582</v>
      </c>
      <c r="D132" t="s">
        <v>1583</v>
      </c>
    </row>
    <row r="133" spans="1:4" x14ac:dyDescent="0.25">
      <c r="A133" t="s">
        <v>1649</v>
      </c>
      <c r="B133" t="s">
        <v>1650</v>
      </c>
      <c r="C133" t="s">
        <v>1647</v>
      </c>
      <c r="D133" t="s">
        <v>1648</v>
      </c>
    </row>
    <row r="134" spans="1:4" x14ac:dyDescent="0.25">
      <c r="A134" t="s">
        <v>1655</v>
      </c>
      <c r="B134" t="s">
        <v>1656</v>
      </c>
      <c r="C134" t="s">
        <v>1647</v>
      </c>
      <c r="D134" t="s">
        <v>1648</v>
      </c>
    </row>
    <row r="135" spans="1:4" x14ac:dyDescent="0.25">
      <c r="A135" t="s">
        <v>1663</v>
      </c>
      <c r="B135" t="s">
        <v>1664</v>
      </c>
      <c r="C135" t="s">
        <v>1647</v>
      </c>
      <c r="D135" t="s">
        <v>1648</v>
      </c>
    </row>
    <row r="136" spans="1:4" x14ac:dyDescent="0.25">
      <c r="A136" t="s">
        <v>1668</v>
      </c>
      <c r="B136" t="s">
        <v>1669</v>
      </c>
      <c r="C136" t="s">
        <v>1666</v>
      </c>
      <c r="D136" t="s">
        <v>1667</v>
      </c>
    </row>
    <row r="137" spans="1:4" x14ac:dyDescent="0.25">
      <c r="A137" t="s">
        <v>1674</v>
      </c>
      <c r="B137" t="s">
        <v>1675</v>
      </c>
      <c r="C137" t="s">
        <v>1666</v>
      </c>
      <c r="D137" t="s">
        <v>1667</v>
      </c>
    </row>
    <row r="138" spans="1:4" x14ac:dyDescent="0.25">
      <c r="A138" t="s">
        <v>1682</v>
      </c>
      <c r="B138" t="s">
        <v>1683</v>
      </c>
      <c r="C138" t="s">
        <v>1680</v>
      </c>
      <c r="D138" t="s">
        <v>1681</v>
      </c>
    </row>
    <row r="139" spans="1:4" x14ac:dyDescent="0.25">
      <c r="A139" t="s">
        <v>1685</v>
      </c>
      <c r="B139" t="s">
        <v>1686</v>
      </c>
      <c r="C139" t="s">
        <v>1680</v>
      </c>
      <c r="D139" t="s">
        <v>1681</v>
      </c>
    </row>
    <row r="140" spans="1:4" x14ac:dyDescent="0.25">
      <c r="A140" t="s">
        <v>1690</v>
      </c>
      <c r="B140" t="s">
        <v>1691</v>
      </c>
      <c r="C140" t="s">
        <v>1688</v>
      </c>
      <c r="D140" t="s">
        <v>1689</v>
      </c>
    </row>
    <row r="141" spans="1:4" x14ac:dyDescent="0.25">
      <c r="A141" t="s">
        <v>1693</v>
      </c>
      <c r="B141" t="s">
        <v>1694</v>
      </c>
      <c r="C141" t="s">
        <v>1688</v>
      </c>
      <c r="D141" t="s">
        <v>1689</v>
      </c>
    </row>
    <row r="142" spans="1:4" x14ac:dyDescent="0.25">
      <c r="A142" t="s">
        <v>1705</v>
      </c>
      <c r="B142" t="s">
        <v>1706</v>
      </c>
      <c r="C142" t="s">
        <v>1688</v>
      </c>
      <c r="D142" t="s">
        <v>1689</v>
      </c>
    </row>
    <row r="143" spans="1:4" x14ac:dyDescent="0.25">
      <c r="A143" t="s">
        <v>1713</v>
      </c>
      <c r="B143" t="s">
        <v>1714</v>
      </c>
      <c r="C143" t="s">
        <v>1711</v>
      </c>
      <c r="D143" t="s">
        <v>1712</v>
      </c>
    </row>
    <row r="144" spans="1:4" x14ac:dyDescent="0.25">
      <c r="A144" t="s">
        <v>1716</v>
      </c>
      <c r="B144" t="s">
        <v>1717</v>
      </c>
      <c r="C144" t="s">
        <v>1711</v>
      </c>
      <c r="D144" t="s">
        <v>1712</v>
      </c>
    </row>
    <row r="145" spans="1:4" x14ac:dyDescent="0.25">
      <c r="A145" t="s">
        <v>1719</v>
      </c>
      <c r="B145" t="s">
        <v>1720</v>
      </c>
      <c r="C145" t="s">
        <v>1711</v>
      </c>
      <c r="D145" t="s">
        <v>1712</v>
      </c>
    </row>
    <row r="146" spans="1:4" x14ac:dyDescent="0.25">
      <c r="A146" t="s">
        <v>1726</v>
      </c>
      <c r="B146" t="s">
        <v>1727</v>
      </c>
      <c r="C146" t="s">
        <v>1724</v>
      </c>
      <c r="D146" t="s">
        <v>1725</v>
      </c>
    </row>
    <row r="147" spans="1:4" x14ac:dyDescent="0.25">
      <c r="A147" t="s">
        <v>1729</v>
      </c>
      <c r="B147" t="s">
        <v>1730</v>
      </c>
      <c r="C147" t="s">
        <v>1724</v>
      </c>
      <c r="D147" t="s">
        <v>1725</v>
      </c>
    </row>
    <row r="148" spans="1:4" x14ac:dyDescent="0.25">
      <c r="A148" t="s">
        <v>1732</v>
      </c>
      <c r="B148" t="s">
        <v>1733</v>
      </c>
      <c r="C148" t="s">
        <v>1724</v>
      </c>
      <c r="D148" t="s">
        <v>1725</v>
      </c>
    </row>
    <row r="149" spans="1:4" x14ac:dyDescent="0.25">
      <c r="A149" t="s">
        <v>1735</v>
      </c>
      <c r="B149" t="s">
        <v>1736</v>
      </c>
      <c r="C149" t="s">
        <v>1724</v>
      </c>
      <c r="D149" t="s">
        <v>1725</v>
      </c>
    </row>
    <row r="150" spans="1:4" x14ac:dyDescent="0.25">
      <c r="A150" t="s">
        <v>1738</v>
      </c>
      <c r="B150" t="s">
        <v>1739</v>
      </c>
      <c r="C150" t="s">
        <v>1724</v>
      </c>
      <c r="D150" t="s">
        <v>1725</v>
      </c>
    </row>
    <row r="151" spans="1:4" x14ac:dyDescent="0.25">
      <c r="A151" t="s">
        <v>1743</v>
      </c>
      <c r="B151" t="s">
        <v>1744</v>
      </c>
      <c r="C151" t="s">
        <v>1741</v>
      </c>
      <c r="D151" t="s">
        <v>1742</v>
      </c>
    </row>
    <row r="152" spans="1:4" x14ac:dyDescent="0.25">
      <c r="A152" t="s">
        <v>1746</v>
      </c>
      <c r="B152" t="s">
        <v>1747</v>
      </c>
      <c r="C152" t="s">
        <v>1741</v>
      </c>
      <c r="D152" t="s">
        <v>1742</v>
      </c>
    </row>
    <row r="153" spans="1:4" x14ac:dyDescent="0.25">
      <c r="A153" t="s">
        <v>1752</v>
      </c>
      <c r="B153" t="s">
        <v>1753</v>
      </c>
      <c r="C153" t="s">
        <v>1741</v>
      </c>
      <c r="D153" t="s">
        <v>1742</v>
      </c>
    </row>
    <row r="154" spans="1:4" x14ac:dyDescent="0.25">
      <c r="A154" t="s">
        <v>1755</v>
      </c>
      <c r="B154" t="s">
        <v>1756</v>
      </c>
      <c r="C154" t="s">
        <v>1741</v>
      </c>
      <c r="D154" t="s">
        <v>1742</v>
      </c>
    </row>
    <row r="155" spans="1:4" x14ac:dyDescent="0.25">
      <c r="A155" t="s">
        <v>1762</v>
      </c>
      <c r="B155" t="s">
        <v>1763</v>
      </c>
      <c r="C155" t="s">
        <v>1760</v>
      </c>
      <c r="D155" t="s">
        <v>1761</v>
      </c>
    </row>
    <row r="156" spans="1:4" x14ac:dyDescent="0.25">
      <c r="A156" t="s">
        <v>1772</v>
      </c>
      <c r="B156" t="s">
        <v>1773</v>
      </c>
      <c r="C156" t="s">
        <v>1760</v>
      </c>
      <c r="D156" t="s">
        <v>1761</v>
      </c>
    </row>
    <row r="157" spans="1:4" x14ac:dyDescent="0.25">
      <c r="A157" t="s">
        <v>1780</v>
      </c>
      <c r="B157" t="s">
        <v>1781</v>
      </c>
      <c r="C157" t="s">
        <v>1778</v>
      </c>
      <c r="D157" t="s">
        <v>1779</v>
      </c>
    </row>
    <row r="158" spans="1:4" x14ac:dyDescent="0.25">
      <c r="A158" t="s">
        <v>1790</v>
      </c>
      <c r="B158" t="s">
        <v>1791</v>
      </c>
      <c r="C158" t="s">
        <v>1778</v>
      </c>
      <c r="D158" t="s">
        <v>1779</v>
      </c>
    </row>
    <row r="159" spans="1:4" x14ac:dyDescent="0.25">
      <c r="A159" t="s">
        <v>1795</v>
      </c>
      <c r="B159" t="s">
        <v>1796</v>
      </c>
      <c r="C159" t="s">
        <v>1793</v>
      </c>
      <c r="D159" t="s">
        <v>1794</v>
      </c>
    </row>
    <row r="160" spans="1:4" x14ac:dyDescent="0.25">
      <c r="A160" t="s">
        <v>1798</v>
      </c>
      <c r="B160" t="s">
        <v>1799</v>
      </c>
      <c r="C160" t="s">
        <v>1793</v>
      </c>
      <c r="D160" t="s">
        <v>1794</v>
      </c>
    </row>
    <row r="161" spans="1:4" x14ac:dyDescent="0.25">
      <c r="A161" t="s">
        <v>1801</v>
      </c>
      <c r="B161" t="s">
        <v>1802</v>
      </c>
      <c r="C161" t="s">
        <v>1793</v>
      </c>
      <c r="D161" t="s">
        <v>1794</v>
      </c>
    </row>
    <row r="162" spans="1:4" x14ac:dyDescent="0.25">
      <c r="A162" t="s">
        <v>1811</v>
      </c>
      <c r="B162" t="s">
        <v>1812</v>
      </c>
      <c r="C162" t="s">
        <v>1809</v>
      </c>
      <c r="D162" t="s">
        <v>1810</v>
      </c>
    </row>
    <row r="163" spans="1:4" x14ac:dyDescent="0.25">
      <c r="A163" t="s">
        <v>1814</v>
      </c>
      <c r="B163" t="s">
        <v>1815</v>
      </c>
      <c r="C163" t="s">
        <v>1809</v>
      </c>
      <c r="D163" t="s">
        <v>1810</v>
      </c>
    </row>
    <row r="164" spans="1:4" x14ac:dyDescent="0.25">
      <c r="A164" t="s">
        <v>1817</v>
      </c>
      <c r="B164" t="s">
        <v>1818</v>
      </c>
      <c r="C164" t="s">
        <v>1809</v>
      </c>
      <c r="D164" t="s">
        <v>1810</v>
      </c>
    </row>
    <row r="165" spans="1:4" x14ac:dyDescent="0.25">
      <c r="A165" t="s">
        <v>1822</v>
      </c>
      <c r="B165" t="s">
        <v>1823</v>
      </c>
      <c r="C165" t="s">
        <v>1820</v>
      </c>
      <c r="D165" t="s">
        <v>1821</v>
      </c>
    </row>
    <row r="166" spans="1:4" x14ac:dyDescent="0.25">
      <c r="A166" t="s">
        <v>1828</v>
      </c>
      <c r="B166" t="s">
        <v>1829</v>
      </c>
      <c r="C166" t="s">
        <v>1820</v>
      </c>
      <c r="D166" t="s">
        <v>1821</v>
      </c>
    </row>
    <row r="167" spans="1:4" x14ac:dyDescent="0.25">
      <c r="A167" t="s">
        <v>1831</v>
      </c>
      <c r="B167" t="s">
        <v>1832</v>
      </c>
      <c r="C167" t="s">
        <v>1820</v>
      </c>
      <c r="D167" t="s">
        <v>1821</v>
      </c>
    </row>
    <row r="168" spans="1:4" x14ac:dyDescent="0.25">
      <c r="A168" t="s">
        <v>1836</v>
      </c>
      <c r="B168" t="s">
        <v>1837</v>
      </c>
      <c r="C168" t="s">
        <v>1834</v>
      </c>
      <c r="D168" t="s">
        <v>1835</v>
      </c>
    </row>
    <row r="169" spans="1:4" x14ac:dyDescent="0.25">
      <c r="A169" t="s">
        <v>1839</v>
      </c>
      <c r="B169" t="s">
        <v>1840</v>
      </c>
      <c r="C169" t="s">
        <v>1834</v>
      </c>
      <c r="D169" t="s">
        <v>1835</v>
      </c>
    </row>
    <row r="170" spans="1:4" x14ac:dyDescent="0.25">
      <c r="A170" t="s">
        <v>1846</v>
      </c>
      <c r="B170" t="s">
        <v>1847</v>
      </c>
      <c r="C170" t="s">
        <v>1844</v>
      </c>
      <c r="D170" t="s">
        <v>1845</v>
      </c>
    </row>
    <row r="171" spans="1:4" x14ac:dyDescent="0.25">
      <c r="A171" t="s">
        <v>1852</v>
      </c>
      <c r="B171" t="s">
        <v>1853</v>
      </c>
      <c r="C171" t="s">
        <v>1844</v>
      </c>
      <c r="D171" t="s">
        <v>1845</v>
      </c>
    </row>
    <row r="172" spans="1:4" x14ac:dyDescent="0.25">
      <c r="A172" t="s">
        <v>1858</v>
      </c>
      <c r="B172" t="s">
        <v>1859</v>
      </c>
      <c r="C172" t="s">
        <v>1844</v>
      </c>
      <c r="D172" t="s">
        <v>1845</v>
      </c>
    </row>
    <row r="173" spans="1:4" x14ac:dyDescent="0.25">
      <c r="A173" t="s">
        <v>1866</v>
      </c>
      <c r="B173" t="s">
        <v>1867</v>
      </c>
      <c r="C173" t="s">
        <v>1844</v>
      </c>
      <c r="D173" t="s">
        <v>1845</v>
      </c>
    </row>
    <row r="174" spans="1:4" x14ac:dyDescent="0.25">
      <c r="A174" t="s">
        <v>1882</v>
      </c>
      <c r="B174" t="s">
        <v>1883</v>
      </c>
      <c r="C174" t="s">
        <v>1880</v>
      </c>
      <c r="D174" t="s">
        <v>1881</v>
      </c>
    </row>
    <row r="175" spans="1:4" x14ac:dyDescent="0.25">
      <c r="A175" t="s">
        <v>1888</v>
      </c>
      <c r="B175" t="s">
        <v>1889</v>
      </c>
      <c r="C175" t="s">
        <v>1880</v>
      </c>
      <c r="D175" t="s">
        <v>1881</v>
      </c>
    </row>
    <row r="176" spans="1:4" x14ac:dyDescent="0.25">
      <c r="A176" t="s">
        <v>1891</v>
      </c>
      <c r="B176" t="s">
        <v>1892</v>
      </c>
      <c r="C176" t="s">
        <v>1880</v>
      </c>
      <c r="D176" t="s">
        <v>1881</v>
      </c>
    </row>
    <row r="177" spans="1:4" x14ac:dyDescent="0.25">
      <c r="A177" t="s">
        <v>1896</v>
      </c>
      <c r="B177" t="s">
        <v>1897</v>
      </c>
      <c r="C177" t="s">
        <v>1894</v>
      </c>
      <c r="D177" t="s">
        <v>1895</v>
      </c>
    </row>
    <row r="178" spans="1:4" x14ac:dyDescent="0.25">
      <c r="A178" t="s">
        <v>1904</v>
      </c>
      <c r="B178" t="s">
        <v>1905</v>
      </c>
      <c r="C178" t="s">
        <v>1894</v>
      </c>
      <c r="D178" t="s">
        <v>1895</v>
      </c>
    </row>
    <row r="179" spans="1:4" x14ac:dyDescent="0.25">
      <c r="A179" t="s">
        <v>1912</v>
      </c>
      <c r="B179" t="s">
        <v>1913</v>
      </c>
      <c r="C179" t="s">
        <v>1894</v>
      </c>
      <c r="D179" t="s">
        <v>1895</v>
      </c>
    </row>
    <row r="180" spans="1:4" x14ac:dyDescent="0.25">
      <c r="A180" t="s">
        <v>1918</v>
      </c>
      <c r="B180" t="s">
        <v>1919</v>
      </c>
      <c r="C180" t="s">
        <v>1917</v>
      </c>
      <c r="D180" t="s">
        <v>1916</v>
      </c>
    </row>
    <row r="181" spans="1:4" x14ac:dyDescent="0.25">
      <c r="A181" t="s">
        <v>1921</v>
      </c>
      <c r="B181" t="s">
        <v>1922</v>
      </c>
      <c r="C181" t="s">
        <v>1917</v>
      </c>
      <c r="D181" t="s">
        <v>1916</v>
      </c>
    </row>
    <row r="182" spans="1:4" x14ac:dyDescent="0.25">
      <c r="A182" t="s">
        <v>1931</v>
      </c>
      <c r="B182" t="s">
        <v>1932</v>
      </c>
      <c r="C182" t="s">
        <v>1929</v>
      </c>
      <c r="D182" t="s">
        <v>1930</v>
      </c>
    </row>
    <row r="183" spans="1:4" x14ac:dyDescent="0.25">
      <c r="A183" t="s">
        <v>1934</v>
      </c>
      <c r="B183" t="s">
        <v>1935</v>
      </c>
      <c r="C183" t="s">
        <v>1929</v>
      </c>
      <c r="D183" t="s">
        <v>1930</v>
      </c>
    </row>
    <row r="184" spans="1:4" x14ac:dyDescent="0.25">
      <c r="A184" t="s">
        <v>1939</v>
      </c>
      <c r="B184" t="s">
        <v>1940</v>
      </c>
      <c r="C184" t="s">
        <v>1937</v>
      </c>
      <c r="D184" t="s">
        <v>1938</v>
      </c>
    </row>
    <row r="185" spans="1:4" x14ac:dyDescent="0.25">
      <c r="A185" t="s">
        <v>1942</v>
      </c>
      <c r="B185" t="s">
        <v>1943</v>
      </c>
      <c r="C185" t="s">
        <v>1937</v>
      </c>
      <c r="D185" t="s">
        <v>1938</v>
      </c>
    </row>
    <row r="186" spans="1:4" x14ac:dyDescent="0.25">
      <c r="A186" t="s">
        <v>1947</v>
      </c>
      <c r="B186" t="s">
        <v>1948</v>
      </c>
      <c r="C186" t="s">
        <v>1945</v>
      </c>
      <c r="D186" t="s">
        <v>1946</v>
      </c>
    </row>
    <row r="187" spans="1:4" x14ac:dyDescent="0.25">
      <c r="A187" t="s">
        <v>1950</v>
      </c>
      <c r="B187" t="s">
        <v>1951</v>
      </c>
      <c r="C187" t="s">
        <v>1945</v>
      </c>
      <c r="D187" t="s">
        <v>1946</v>
      </c>
    </row>
    <row r="188" spans="1:4" x14ac:dyDescent="0.25">
      <c r="A188" t="s">
        <v>1955</v>
      </c>
      <c r="B188" t="s">
        <v>1956</v>
      </c>
      <c r="C188" t="s">
        <v>1953</v>
      </c>
      <c r="D188" t="s">
        <v>1954</v>
      </c>
    </row>
    <row r="189" spans="1:4" x14ac:dyDescent="0.25">
      <c r="A189" t="s">
        <v>1958</v>
      </c>
      <c r="B189" t="s">
        <v>1959</v>
      </c>
      <c r="C189" t="s">
        <v>1953</v>
      </c>
      <c r="D189" t="s">
        <v>1954</v>
      </c>
    </row>
    <row r="190" spans="1:4" x14ac:dyDescent="0.25">
      <c r="A190" t="s">
        <v>1963</v>
      </c>
      <c r="B190" t="s">
        <v>1964</v>
      </c>
      <c r="C190" t="s">
        <v>1961</v>
      </c>
      <c r="D190" t="s">
        <v>1962</v>
      </c>
    </row>
    <row r="191" spans="1:4" x14ac:dyDescent="0.25">
      <c r="A191" t="s">
        <v>1966</v>
      </c>
      <c r="B191" t="s">
        <v>1967</v>
      </c>
      <c r="C191" t="s">
        <v>1961</v>
      </c>
      <c r="D191" t="s">
        <v>1962</v>
      </c>
    </row>
    <row r="192" spans="1:4" x14ac:dyDescent="0.25">
      <c r="A192" t="s">
        <v>1969</v>
      </c>
      <c r="B192" t="s">
        <v>1970</v>
      </c>
      <c r="C192" t="s">
        <v>1961</v>
      </c>
      <c r="D192" t="s">
        <v>1962</v>
      </c>
    </row>
    <row r="193" spans="1:4" x14ac:dyDescent="0.25">
      <c r="A193" t="s">
        <v>1974</v>
      </c>
      <c r="B193" t="s">
        <v>1975</v>
      </c>
      <c r="C193" t="s">
        <v>1972</v>
      </c>
      <c r="D193" t="s">
        <v>1973</v>
      </c>
    </row>
    <row r="194" spans="1:4" x14ac:dyDescent="0.25">
      <c r="A194" t="s">
        <v>1977</v>
      </c>
      <c r="B194" t="s">
        <v>1978</v>
      </c>
      <c r="C194" t="s">
        <v>1972</v>
      </c>
      <c r="D194" t="s">
        <v>1973</v>
      </c>
    </row>
    <row r="195" spans="1:4" x14ac:dyDescent="0.25">
      <c r="A195" t="s">
        <v>1980</v>
      </c>
      <c r="B195" t="s">
        <v>1981</v>
      </c>
      <c r="C195" t="s">
        <v>1972</v>
      </c>
      <c r="D195" t="s">
        <v>1973</v>
      </c>
    </row>
    <row r="196" spans="1:4" x14ac:dyDescent="0.25">
      <c r="A196" t="s">
        <v>1983</v>
      </c>
      <c r="B196" t="s">
        <v>1984</v>
      </c>
      <c r="C196" t="s">
        <v>1972</v>
      </c>
      <c r="D196" t="s">
        <v>1973</v>
      </c>
    </row>
    <row r="197" spans="1:4" x14ac:dyDescent="0.25">
      <c r="A197" t="s">
        <v>1991</v>
      </c>
      <c r="B197" t="s">
        <v>1990</v>
      </c>
      <c r="C197" t="s">
        <v>1989</v>
      </c>
      <c r="D197" t="s">
        <v>1990</v>
      </c>
    </row>
    <row r="198" spans="1:4" x14ac:dyDescent="0.25">
      <c r="A198" t="s">
        <v>1997</v>
      </c>
      <c r="B198" t="s">
        <v>1998</v>
      </c>
      <c r="C198" t="s">
        <v>1995</v>
      </c>
      <c r="D198" t="s">
        <v>1996</v>
      </c>
    </row>
    <row r="199" spans="1:4" x14ac:dyDescent="0.25">
      <c r="A199" t="s">
        <v>2000</v>
      </c>
      <c r="B199" t="s">
        <v>2001</v>
      </c>
      <c r="C199" t="s">
        <v>1995</v>
      </c>
      <c r="D199" t="s">
        <v>1996</v>
      </c>
    </row>
    <row r="200" spans="1:4" x14ac:dyDescent="0.25">
      <c r="A200" t="s">
        <v>2006</v>
      </c>
      <c r="B200" t="s">
        <v>2007</v>
      </c>
      <c r="C200" t="s">
        <v>1995</v>
      </c>
      <c r="D200" t="s">
        <v>1996</v>
      </c>
    </row>
    <row r="201" spans="1:4" x14ac:dyDescent="0.25">
      <c r="A201" t="s">
        <v>2009</v>
      </c>
      <c r="B201" t="s">
        <v>2010</v>
      </c>
      <c r="C201" t="s">
        <v>1995</v>
      </c>
      <c r="D201" t="s">
        <v>1996</v>
      </c>
    </row>
    <row r="202" spans="1:4" x14ac:dyDescent="0.25">
      <c r="A202" t="s">
        <v>2012</v>
      </c>
      <c r="B202" t="s">
        <v>2013</v>
      </c>
      <c r="C202" t="s">
        <v>1995</v>
      </c>
      <c r="D202" t="s">
        <v>1996</v>
      </c>
    </row>
    <row r="203" spans="1:4" x14ac:dyDescent="0.25">
      <c r="A203" t="s">
        <v>2020</v>
      </c>
      <c r="B203" t="s">
        <v>2021</v>
      </c>
      <c r="C203" t="s">
        <v>2018</v>
      </c>
      <c r="D203" t="s">
        <v>2019</v>
      </c>
    </row>
    <row r="204" spans="1:4" x14ac:dyDescent="0.25">
      <c r="A204" t="s">
        <v>2023</v>
      </c>
      <c r="B204" t="s">
        <v>2024</v>
      </c>
      <c r="C204" t="s">
        <v>2018</v>
      </c>
      <c r="D204" t="s">
        <v>2019</v>
      </c>
    </row>
    <row r="205" spans="1:4" x14ac:dyDescent="0.25">
      <c r="A205" t="s">
        <v>2028</v>
      </c>
      <c r="B205" t="s">
        <v>2029</v>
      </c>
      <c r="C205" t="s">
        <v>2026</v>
      </c>
      <c r="D205" t="s">
        <v>2027</v>
      </c>
    </row>
    <row r="206" spans="1:4" x14ac:dyDescent="0.25">
      <c r="A206" t="s">
        <v>2034</v>
      </c>
      <c r="B206" t="s">
        <v>2035</v>
      </c>
      <c r="C206" t="s">
        <v>2026</v>
      </c>
      <c r="D206" t="s">
        <v>2027</v>
      </c>
    </row>
    <row r="207" spans="1:4" x14ac:dyDescent="0.25">
      <c r="A207" t="s">
        <v>2039</v>
      </c>
      <c r="B207" t="s">
        <v>2038</v>
      </c>
      <c r="C207" t="s">
        <v>2037</v>
      </c>
      <c r="D207" t="s">
        <v>2038</v>
      </c>
    </row>
    <row r="208" spans="1:4" x14ac:dyDescent="0.25">
      <c r="A208" t="s">
        <v>2046</v>
      </c>
      <c r="B208" t="s">
        <v>2047</v>
      </c>
      <c r="C208" t="s">
        <v>2044</v>
      </c>
      <c r="D208" t="s">
        <v>2045</v>
      </c>
    </row>
    <row r="209" spans="1:4" x14ac:dyDescent="0.25">
      <c r="A209" t="s">
        <v>2049</v>
      </c>
      <c r="B209" t="s">
        <v>2050</v>
      </c>
      <c r="C209" t="s">
        <v>2044</v>
      </c>
      <c r="D209" t="s">
        <v>2045</v>
      </c>
    </row>
    <row r="210" spans="1:4" x14ac:dyDescent="0.25">
      <c r="A210" t="s">
        <v>2055</v>
      </c>
      <c r="B210" t="s">
        <v>2056</v>
      </c>
      <c r="C210" t="s">
        <v>2044</v>
      </c>
      <c r="D210" t="s">
        <v>2045</v>
      </c>
    </row>
    <row r="211" spans="1:4" x14ac:dyDescent="0.25">
      <c r="A211" t="s">
        <v>2060</v>
      </c>
      <c r="B211" t="s">
        <v>2061</v>
      </c>
      <c r="C211" t="s">
        <v>2058</v>
      </c>
      <c r="D211" t="s">
        <v>2059</v>
      </c>
    </row>
    <row r="212" spans="1:4" x14ac:dyDescent="0.25">
      <c r="A212" t="s">
        <v>2063</v>
      </c>
      <c r="B212" t="s">
        <v>2064</v>
      </c>
      <c r="C212" t="s">
        <v>2058</v>
      </c>
      <c r="D212" t="s">
        <v>2059</v>
      </c>
    </row>
    <row r="213" spans="1:4" x14ac:dyDescent="0.25">
      <c r="A213" t="s">
        <v>2066</v>
      </c>
      <c r="B213" t="s">
        <v>2067</v>
      </c>
      <c r="C213" t="s">
        <v>2058</v>
      </c>
      <c r="D213" t="s">
        <v>2059</v>
      </c>
    </row>
    <row r="214" spans="1:4" x14ac:dyDescent="0.25">
      <c r="A214" t="s">
        <v>2069</v>
      </c>
      <c r="B214" t="s">
        <v>2070</v>
      </c>
      <c r="C214" t="s">
        <v>2058</v>
      </c>
      <c r="D214" t="s">
        <v>2059</v>
      </c>
    </row>
    <row r="215" spans="1:4" x14ac:dyDescent="0.25">
      <c r="A215" t="s">
        <v>2072</v>
      </c>
      <c r="B215" t="s">
        <v>2073</v>
      </c>
      <c r="C215" t="s">
        <v>2058</v>
      </c>
      <c r="D215" t="s">
        <v>2059</v>
      </c>
    </row>
    <row r="216" spans="1:4" x14ac:dyDescent="0.25">
      <c r="A216" t="s">
        <v>2083</v>
      </c>
      <c r="B216" t="s">
        <v>2084</v>
      </c>
      <c r="C216" t="s">
        <v>2082</v>
      </c>
      <c r="D216" t="s">
        <v>2081</v>
      </c>
    </row>
    <row r="217" spans="1:4" x14ac:dyDescent="0.25">
      <c r="A217" t="s">
        <v>2093</v>
      </c>
      <c r="B217" t="s">
        <v>2094</v>
      </c>
      <c r="C217" t="s">
        <v>2082</v>
      </c>
      <c r="D217" t="s">
        <v>2081</v>
      </c>
    </row>
    <row r="218" spans="1:4" x14ac:dyDescent="0.25">
      <c r="A218" t="s">
        <v>2101</v>
      </c>
      <c r="B218" t="s">
        <v>2102</v>
      </c>
      <c r="C218" t="s">
        <v>2082</v>
      </c>
      <c r="D218" t="s">
        <v>2081</v>
      </c>
    </row>
    <row r="219" spans="1:4" x14ac:dyDescent="0.25">
      <c r="A219" t="s">
        <v>2107</v>
      </c>
      <c r="B219" t="s">
        <v>2108</v>
      </c>
      <c r="C219" t="s">
        <v>2106</v>
      </c>
      <c r="D219" t="s">
        <v>2105</v>
      </c>
    </row>
    <row r="220" spans="1:4" x14ac:dyDescent="0.25">
      <c r="A220" t="s">
        <v>2110</v>
      </c>
      <c r="B220" t="s">
        <v>2111</v>
      </c>
      <c r="C220" t="s">
        <v>2106</v>
      </c>
      <c r="D220" t="s">
        <v>2105</v>
      </c>
    </row>
    <row r="221" spans="1:4" x14ac:dyDescent="0.25">
      <c r="A221" t="s">
        <v>2113</v>
      </c>
      <c r="B221" t="s">
        <v>2114</v>
      </c>
      <c r="C221" t="s">
        <v>2106</v>
      </c>
      <c r="D221" t="s">
        <v>2105</v>
      </c>
    </row>
    <row r="222" spans="1:4" x14ac:dyDescent="0.25">
      <c r="A222" t="s">
        <v>2121</v>
      </c>
      <c r="B222" t="s">
        <v>2122</v>
      </c>
      <c r="C222" t="s">
        <v>2106</v>
      </c>
      <c r="D222" t="s">
        <v>2105</v>
      </c>
    </row>
    <row r="223" spans="1:4" x14ac:dyDescent="0.25">
      <c r="A223" t="s">
        <v>2124</v>
      </c>
      <c r="B223" t="s">
        <v>2125</v>
      </c>
      <c r="C223" t="s">
        <v>2106</v>
      </c>
      <c r="D223" t="s">
        <v>2105</v>
      </c>
    </row>
    <row r="224" spans="1:4" x14ac:dyDescent="0.25">
      <c r="A224" t="s">
        <v>2134</v>
      </c>
      <c r="B224" t="s">
        <v>2135</v>
      </c>
      <c r="C224" t="s">
        <v>2106</v>
      </c>
      <c r="D224" t="s">
        <v>2105</v>
      </c>
    </row>
    <row r="225" spans="1:4" x14ac:dyDescent="0.25">
      <c r="A225" t="s">
        <v>2144</v>
      </c>
      <c r="B225" t="s">
        <v>2145</v>
      </c>
      <c r="C225" t="s">
        <v>2142</v>
      </c>
      <c r="D225" t="s">
        <v>2143</v>
      </c>
    </row>
    <row r="226" spans="1:4" x14ac:dyDescent="0.25">
      <c r="A226" t="s">
        <v>2147</v>
      </c>
      <c r="B226" t="s">
        <v>2148</v>
      </c>
      <c r="C226" t="s">
        <v>2142</v>
      </c>
      <c r="D226" t="s">
        <v>2143</v>
      </c>
    </row>
    <row r="227" spans="1:4" x14ac:dyDescent="0.25">
      <c r="A227" t="s">
        <v>2150</v>
      </c>
      <c r="B227" t="s">
        <v>2151</v>
      </c>
      <c r="C227" t="s">
        <v>2142</v>
      </c>
      <c r="D227" t="s">
        <v>2143</v>
      </c>
    </row>
    <row r="228" spans="1:4" x14ac:dyDescent="0.25">
      <c r="A228" t="s">
        <v>2158</v>
      </c>
      <c r="B228" t="s">
        <v>2159</v>
      </c>
      <c r="C228" t="s">
        <v>2156</v>
      </c>
      <c r="D228" t="s">
        <v>2157</v>
      </c>
    </row>
    <row r="229" spans="1:4" x14ac:dyDescent="0.25">
      <c r="A229" t="s">
        <v>2161</v>
      </c>
      <c r="B229" t="s">
        <v>2162</v>
      </c>
      <c r="C229" t="s">
        <v>2156</v>
      </c>
      <c r="D229" t="s">
        <v>2157</v>
      </c>
    </row>
    <row r="230" spans="1:4" x14ac:dyDescent="0.25">
      <c r="A230" t="s">
        <v>2164</v>
      </c>
      <c r="B230" t="s">
        <v>2165</v>
      </c>
      <c r="C230" t="s">
        <v>2156</v>
      </c>
      <c r="D230" t="s">
        <v>2157</v>
      </c>
    </row>
    <row r="231" spans="1:4" x14ac:dyDescent="0.25">
      <c r="A231" t="s">
        <v>2167</v>
      </c>
      <c r="B231" t="s">
        <v>2168</v>
      </c>
      <c r="C231" t="s">
        <v>2156</v>
      </c>
      <c r="D231" t="s">
        <v>2157</v>
      </c>
    </row>
    <row r="232" spans="1:4" x14ac:dyDescent="0.25">
      <c r="A232" t="s">
        <v>2175</v>
      </c>
      <c r="B232" t="s">
        <v>2176</v>
      </c>
      <c r="C232" t="s">
        <v>2173</v>
      </c>
      <c r="D232" t="s">
        <v>2174</v>
      </c>
    </row>
    <row r="233" spans="1:4" x14ac:dyDescent="0.25">
      <c r="A233" t="s">
        <v>2178</v>
      </c>
      <c r="B233" t="s">
        <v>2179</v>
      </c>
      <c r="C233" t="s">
        <v>2173</v>
      </c>
      <c r="D233" t="s">
        <v>2174</v>
      </c>
    </row>
    <row r="234" spans="1:4" x14ac:dyDescent="0.25">
      <c r="A234" t="s">
        <v>2185</v>
      </c>
      <c r="B234" t="s">
        <v>2186</v>
      </c>
      <c r="C234" t="s">
        <v>2183</v>
      </c>
      <c r="D234" t="s">
        <v>2184</v>
      </c>
    </row>
    <row r="235" spans="1:4" x14ac:dyDescent="0.25">
      <c r="A235" t="s">
        <v>2193</v>
      </c>
      <c r="B235" t="s">
        <v>2194</v>
      </c>
      <c r="C235" t="s">
        <v>2183</v>
      </c>
      <c r="D235" t="s">
        <v>2184</v>
      </c>
    </row>
    <row r="236" spans="1:4" x14ac:dyDescent="0.25">
      <c r="A236" t="s">
        <v>2196</v>
      </c>
      <c r="B236" t="s">
        <v>2197</v>
      </c>
      <c r="C236" t="s">
        <v>2183</v>
      </c>
      <c r="D236" t="s">
        <v>2184</v>
      </c>
    </row>
    <row r="237" spans="1:4" x14ac:dyDescent="0.25">
      <c r="A237" t="s">
        <v>2204</v>
      </c>
      <c r="B237" t="s">
        <v>2205</v>
      </c>
      <c r="C237" t="s">
        <v>2202</v>
      </c>
      <c r="D237" t="s">
        <v>2203</v>
      </c>
    </row>
    <row r="238" spans="1:4" x14ac:dyDescent="0.25">
      <c r="A238" t="s">
        <v>2210</v>
      </c>
      <c r="B238" t="s">
        <v>2211</v>
      </c>
      <c r="C238" t="s">
        <v>2202</v>
      </c>
      <c r="D238" t="s">
        <v>2203</v>
      </c>
    </row>
    <row r="239" spans="1:4" x14ac:dyDescent="0.25">
      <c r="A239" t="s">
        <v>2216</v>
      </c>
      <c r="B239" t="s">
        <v>2217</v>
      </c>
      <c r="C239" t="s">
        <v>2202</v>
      </c>
      <c r="D239" t="s">
        <v>2203</v>
      </c>
    </row>
    <row r="240" spans="1:4" x14ac:dyDescent="0.25">
      <c r="A240" t="s">
        <v>2219</v>
      </c>
      <c r="B240" t="s">
        <v>2220</v>
      </c>
      <c r="C240" t="s">
        <v>2202</v>
      </c>
      <c r="D240" t="s">
        <v>2203</v>
      </c>
    </row>
    <row r="241" spans="1:4" x14ac:dyDescent="0.25">
      <c r="A241" t="s">
        <v>2227</v>
      </c>
      <c r="B241" t="s">
        <v>2226</v>
      </c>
      <c r="C241" t="s">
        <v>2225</v>
      </c>
      <c r="D241" t="s">
        <v>2226</v>
      </c>
    </row>
    <row r="242" spans="1:4" x14ac:dyDescent="0.25">
      <c r="A242" t="s">
        <v>2231</v>
      </c>
      <c r="B242" t="s">
        <v>2232</v>
      </c>
      <c r="C242" t="s">
        <v>2229</v>
      </c>
      <c r="D242" t="s">
        <v>2230</v>
      </c>
    </row>
    <row r="243" spans="1:4" x14ac:dyDescent="0.25">
      <c r="A243" t="s">
        <v>2239</v>
      </c>
      <c r="B243" t="s">
        <v>2240</v>
      </c>
      <c r="C243" t="s">
        <v>2229</v>
      </c>
      <c r="D243" t="s">
        <v>2230</v>
      </c>
    </row>
    <row r="244" spans="1:4" x14ac:dyDescent="0.25">
      <c r="A244" t="s">
        <v>2249</v>
      </c>
      <c r="B244" t="s">
        <v>2250</v>
      </c>
      <c r="C244" t="s">
        <v>2247</v>
      </c>
      <c r="D244" t="s">
        <v>2248</v>
      </c>
    </row>
    <row r="245" spans="1:4" x14ac:dyDescent="0.25">
      <c r="A245" t="s">
        <v>2255</v>
      </c>
      <c r="B245" t="s">
        <v>2256</v>
      </c>
      <c r="C245" t="s">
        <v>2247</v>
      </c>
      <c r="D245" t="s">
        <v>2248</v>
      </c>
    </row>
    <row r="246" spans="1:4" x14ac:dyDescent="0.25">
      <c r="A246" t="s">
        <v>2258</v>
      </c>
      <c r="B246" t="s">
        <v>2259</v>
      </c>
      <c r="C246" t="s">
        <v>2247</v>
      </c>
      <c r="D246" t="s">
        <v>2248</v>
      </c>
    </row>
    <row r="247" spans="1:4" x14ac:dyDescent="0.25">
      <c r="A247" t="s">
        <v>2268</v>
      </c>
      <c r="B247" t="s">
        <v>2269</v>
      </c>
      <c r="C247" t="s">
        <v>2266</v>
      </c>
      <c r="D247" t="s">
        <v>2267</v>
      </c>
    </row>
    <row r="248" spans="1:4" x14ac:dyDescent="0.25">
      <c r="A248" t="s">
        <v>2271</v>
      </c>
      <c r="B248" t="s">
        <v>2272</v>
      </c>
      <c r="C248" t="s">
        <v>2266</v>
      </c>
      <c r="D248" t="s">
        <v>2267</v>
      </c>
    </row>
    <row r="249" spans="1:4" x14ac:dyDescent="0.25">
      <c r="A249" t="s">
        <v>2283</v>
      </c>
      <c r="B249" t="s">
        <v>2284</v>
      </c>
      <c r="C249" t="s">
        <v>2266</v>
      </c>
      <c r="D249" t="s">
        <v>2267</v>
      </c>
    </row>
    <row r="250" spans="1:4" x14ac:dyDescent="0.25">
      <c r="A250" t="s">
        <v>2289</v>
      </c>
      <c r="B250" t="s">
        <v>2290</v>
      </c>
      <c r="C250" t="s">
        <v>2266</v>
      </c>
      <c r="D250" t="s">
        <v>2267</v>
      </c>
    </row>
    <row r="251" spans="1:4" x14ac:dyDescent="0.25">
      <c r="A251" t="s">
        <v>2294</v>
      </c>
      <c r="B251" t="s">
        <v>2295</v>
      </c>
      <c r="C251" t="s">
        <v>2292</v>
      </c>
      <c r="D251" t="s">
        <v>2293</v>
      </c>
    </row>
    <row r="252" spans="1:4" x14ac:dyDescent="0.25">
      <c r="A252" t="s">
        <v>2297</v>
      </c>
      <c r="B252" t="s">
        <v>2298</v>
      </c>
      <c r="C252" t="s">
        <v>2292</v>
      </c>
      <c r="D252" t="s">
        <v>2293</v>
      </c>
    </row>
    <row r="253" spans="1:4" x14ac:dyDescent="0.25">
      <c r="A253" t="s">
        <v>2305</v>
      </c>
      <c r="B253" t="s">
        <v>2306</v>
      </c>
      <c r="C253" t="s">
        <v>2292</v>
      </c>
      <c r="D253" t="s">
        <v>2293</v>
      </c>
    </row>
    <row r="254" spans="1:4" x14ac:dyDescent="0.25">
      <c r="A254" t="s">
        <v>2308</v>
      </c>
      <c r="B254" t="s">
        <v>2309</v>
      </c>
      <c r="C254" t="s">
        <v>2292</v>
      </c>
      <c r="D254" t="s">
        <v>2293</v>
      </c>
    </row>
    <row r="255" spans="1:4" x14ac:dyDescent="0.25">
      <c r="A255" t="s">
        <v>2311</v>
      </c>
      <c r="B255" t="s">
        <v>2312</v>
      </c>
      <c r="C255" t="s">
        <v>2292</v>
      </c>
      <c r="D255" t="s">
        <v>2293</v>
      </c>
    </row>
    <row r="256" spans="1:4" x14ac:dyDescent="0.25">
      <c r="A256" t="s">
        <v>2318</v>
      </c>
      <c r="B256" t="s">
        <v>2317</v>
      </c>
      <c r="C256" t="s">
        <v>2316</v>
      </c>
      <c r="D256" t="s">
        <v>2317</v>
      </c>
    </row>
    <row r="257" spans="1:4" x14ac:dyDescent="0.25">
      <c r="A257" t="s">
        <v>2322</v>
      </c>
      <c r="B257" t="s">
        <v>2323</v>
      </c>
      <c r="C257" t="s">
        <v>2320</v>
      </c>
      <c r="D257" t="s">
        <v>2321</v>
      </c>
    </row>
    <row r="258" spans="1:4" x14ac:dyDescent="0.25">
      <c r="A258" t="s">
        <v>2325</v>
      </c>
      <c r="B258" t="s">
        <v>2326</v>
      </c>
      <c r="C258" t="s">
        <v>2320</v>
      </c>
      <c r="D258" t="s">
        <v>2321</v>
      </c>
    </row>
    <row r="259" spans="1:4" x14ac:dyDescent="0.25">
      <c r="A259" t="s">
        <v>2331</v>
      </c>
      <c r="B259" t="s">
        <v>2329</v>
      </c>
      <c r="C259" t="s">
        <v>2330</v>
      </c>
      <c r="D259" t="s">
        <v>2329</v>
      </c>
    </row>
  </sheetData>
  <autoFilter ref="A1:D259" xr:uid="{CBAB13FD-3DAB-4105-9468-7602F8F3816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1CD0-1DA5-4A71-ACAA-0FB43FA2DB36}">
  <dimension ref="A1:D374"/>
  <sheetViews>
    <sheetView workbookViewId="0">
      <selection sqref="A1:D1"/>
    </sheetView>
  </sheetViews>
  <sheetFormatPr defaultRowHeight="15" x14ac:dyDescent="0.25"/>
  <cols>
    <col min="1" max="1" width="21.85546875" customWidth="1"/>
    <col min="2" max="2" width="117.7109375" customWidth="1"/>
    <col min="3" max="3" width="19.5703125" customWidth="1"/>
    <col min="4" max="4" width="68.7109375" customWidth="1"/>
    <col min="5" max="5" width="21.85546875" customWidth="1"/>
    <col min="6" max="6" width="117.7109375" customWidth="1"/>
  </cols>
  <sheetData>
    <row r="1" spans="1:4" x14ac:dyDescent="0.25">
      <c r="A1" s="2" t="s">
        <v>2350</v>
      </c>
      <c r="B1" s="1" t="s">
        <v>2349</v>
      </c>
      <c r="C1" s="3" t="s">
        <v>2348</v>
      </c>
      <c r="D1" s="3" t="s">
        <v>2336</v>
      </c>
    </row>
    <row r="2" spans="1:4" x14ac:dyDescent="0.25">
      <c r="A2" t="s">
        <v>856</v>
      </c>
      <c r="B2" t="s">
        <v>857</v>
      </c>
      <c r="C2" t="s">
        <v>854</v>
      </c>
      <c r="D2" t="s">
        <v>855</v>
      </c>
    </row>
    <row r="3" spans="1:4" x14ac:dyDescent="0.25">
      <c r="A3" t="s">
        <v>929</v>
      </c>
      <c r="B3" t="s">
        <v>930</v>
      </c>
      <c r="C3" t="s">
        <v>854</v>
      </c>
      <c r="D3" t="s">
        <v>855</v>
      </c>
    </row>
    <row r="4" spans="1:4" x14ac:dyDescent="0.25">
      <c r="A4" t="s">
        <v>943</v>
      </c>
      <c r="B4" t="s">
        <v>944</v>
      </c>
      <c r="C4" t="s">
        <v>854</v>
      </c>
      <c r="D4" t="s">
        <v>855</v>
      </c>
    </row>
    <row r="5" spans="1:4" x14ac:dyDescent="0.25">
      <c r="A5" t="s">
        <v>962</v>
      </c>
      <c r="B5" t="s">
        <v>963</v>
      </c>
      <c r="C5" t="s">
        <v>960</v>
      </c>
      <c r="D5" t="s">
        <v>961</v>
      </c>
    </row>
    <row r="6" spans="1:4" x14ac:dyDescent="0.25">
      <c r="A6" t="s">
        <v>970</v>
      </c>
      <c r="B6" t="s">
        <v>971</v>
      </c>
      <c r="C6" t="s">
        <v>960</v>
      </c>
      <c r="D6" t="s">
        <v>961</v>
      </c>
    </row>
    <row r="7" spans="1:4" x14ac:dyDescent="0.25">
      <c r="A7" t="s">
        <v>978</v>
      </c>
      <c r="B7" t="s">
        <v>979</v>
      </c>
      <c r="C7" t="s">
        <v>960</v>
      </c>
      <c r="D7" t="s">
        <v>961</v>
      </c>
    </row>
    <row r="8" spans="1:4" x14ac:dyDescent="0.25">
      <c r="A8" t="s">
        <v>989</v>
      </c>
      <c r="B8" t="s">
        <v>990</v>
      </c>
      <c r="C8" t="s">
        <v>960</v>
      </c>
      <c r="D8" t="s">
        <v>961</v>
      </c>
    </row>
    <row r="9" spans="1:4" x14ac:dyDescent="0.25">
      <c r="A9" t="s">
        <v>1004</v>
      </c>
      <c r="B9" t="s">
        <v>1005</v>
      </c>
      <c r="C9" t="s">
        <v>960</v>
      </c>
      <c r="D9" t="s">
        <v>961</v>
      </c>
    </row>
    <row r="10" spans="1:4" x14ac:dyDescent="0.25">
      <c r="A10" t="s">
        <v>1014</v>
      </c>
      <c r="B10" t="s">
        <v>1015</v>
      </c>
      <c r="C10" t="s">
        <v>1012</v>
      </c>
      <c r="D10" t="s">
        <v>1013</v>
      </c>
    </row>
    <row r="11" spans="1:4" x14ac:dyDescent="0.25">
      <c r="A11" t="s">
        <v>1056</v>
      </c>
      <c r="B11" t="s">
        <v>1057</v>
      </c>
      <c r="C11" t="s">
        <v>1012</v>
      </c>
      <c r="D11" t="s">
        <v>1013</v>
      </c>
    </row>
    <row r="12" spans="1:4" x14ac:dyDescent="0.25">
      <c r="A12" t="s">
        <v>1069</v>
      </c>
      <c r="B12" t="s">
        <v>1070</v>
      </c>
      <c r="C12" t="s">
        <v>1012</v>
      </c>
      <c r="D12" t="s">
        <v>1013</v>
      </c>
    </row>
    <row r="13" spans="1:4" x14ac:dyDescent="0.25">
      <c r="A13" t="s">
        <v>1073</v>
      </c>
      <c r="B13" t="s">
        <v>1074</v>
      </c>
      <c r="C13" t="s">
        <v>1012</v>
      </c>
      <c r="D13" t="s">
        <v>1013</v>
      </c>
    </row>
    <row r="14" spans="1:4" x14ac:dyDescent="0.25">
      <c r="A14" t="s">
        <v>1095</v>
      </c>
      <c r="B14" t="s">
        <v>1096</v>
      </c>
      <c r="C14" t="s">
        <v>1012</v>
      </c>
      <c r="D14" t="s">
        <v>1013</v>
      </c>
    </row>
    <row r="15" spans="1:4" x14ac:dyDescent="0.25">
      <c r="A15" t="s">
        <v>1106</v>
      </c>
      <c r="B15" t="s">
        <v>1107</v>
      </c>
      <c r="C15" t="s">
        <v>1012</v>
      </c>
      <c r="D15" t="s">
        <v>1013</v>
      </c>
    </row>
    <row r="16" spans="1:4" x14ac:dyDescent="0.25">
      <c r="A16" t="s">
        <v>1117</v>
      </c>
      <c r="B16" t="s">
        <v>1118</v>
      </c>
      <c r="C16" t="s">
        <v>1012</v>
      </c>
      <c r="D16" t="s">
        <v>1013</v>
      </c>
    </row>
    <row r="17" spans="1:4" x14ac:dyDescent="0.25">
      <c r="A17" t="s">
        <v>1132</v>
      </c>
      <c r="B17" t="s">
        <v>1133</v>
      </c>
      <c r="C17" t="s">
        <v>1012</v>
      </c>
      <c r="D17" t="s">
        <v>1013</v>
      </c>
    </row>
    <row r="18" spans="1:4" x14ac:dyDescent="0.25">
      <c r="A18" t="s">
        <v>1141</v>
      </c>
      <c r="B18" t="s">
        <v>1142</v>
      </c>
      <c r="C18" t="s">
        <v>1012</v>
      </c>
      <c r="D18" t="s">
        <v>1013</v>
      </c>
    </row>
    <row r="19" spans="1:4" x14ac:dyDescent="0.25">
      <c r="A19" t="s">
        <v>1152</v>
      </c>
      <c r="B19" t="s">
        <v>1153</v>
      </c>
      <c r="C19" t="s">
        <v>1012</v>
      </c>
      <c r="D19" t="s">
        <v>1013</v>
      </c>
    </row>
    <row r="20" spans="1:4" x14ac:dyDescent="0.25">
      <c r="A20" t="s">
        <v>1160</v>
      </c>
      <c r="B20" t="s">
        <v>1161</v>
      </c>
      <c r="C20" t="s">
        <v>1012</v>
      </c>
      <c r="D20" t="s">
        <v>1013</v>
      </c>
    </row>
    <row r="21" spans="1:4" x14ac:dyDescent="0.25">
      <c r="A21" t="s">
        <v>1183</v>
      </c>
      <c r="B21" t="s">
        <v>1184</v>
      </c>
      <c r="C21" t="s">
        <v>1012</v>
      </c>
      <c r="D21" t="s">
        <v>1013</v>
      </c>
    </row>
    <row r="22" spans="1:4" x14ac:dyDescent="0.25">
      <c r="A22" t="s">
        <v>1188</v>
      </c>
      <c r="B22" t="s">
        <v>1189</v>
      </c>
      <c r="C22" t="s">
        <v>1012</v>
      </c>
      <c r="D22" t="s">
        <v>1013</v>
      </c>
    </row>
    <row r="23" spans="1:4" x14ac:dyDescent="0.25">
      <c r="A23" t="s">
        <v>1199</v>
      </c>
      <c r="B23" t="s">
        <v>1200</v>
      </c>
      <c r="C23" t="s">
        <v>1012</v>
      </c>
      <c r="D23" t="s">
        <v>1013</v>
      </c>
    </row>
    <row r="24" spans="1:4" x14ac:dyDescent="0.25">
      <c r="A24" t="s">
        <v>1220</v>
      </c>
      <c r="B24" t="s">
        <v>1221</v>
      </c>
      <c r="C24" t="s">
        <v>1012</v>
      </c>
      <c r="D24" t="s">
        <v>1013</v>
      </c>
    </row>
    <row r="25" spans="1:4" x14ac:dyDescent="0.25">
      <c r="A25" t="s">
        <v>1234</v>
      </c>
      <c r="B25" t="s">
        <v>1235</v>
      </c>
      <c r="C25" t="s">
        <v>1012</v>
      </c>
      <c r="D25" t="s">
        <v>1013</v>
      </c>
    </row>
    <row r="26" spans="1:4" x14ac:dyDescent="0.25">
      <c r="A26" t="s">
        <v>1257</v>
      </c>
      <c r="B26" t="s">
        <v>1258</v>
      </c>
      <c r="C26" t="s">
        <v>1012</v>
      </c>
      <c r="D26" t="s">
        <v>1013</v>
      </c>
    </row>
    <row r="27" spans="1:4" x14ac:dyDescent="0.25">
      <c r="A27" t="s">
        <v>1289</v>
      </c>
      <c r="B27" t="s">
        <v>1290</v>
      </c>
      <c r="C27" t="s">
        <v>1012</v>
      </c>
      <c r="D27" t="s">
        <v>1013</v>
      </c>
    </row>
    <row r="28" spans="1:4" x14ac:dyDescent="0.25">
      <c r="A28" t="s">
        <v>1314</v>
      </c>
      <c r="B28" t="s">
        <v>1315</v>
      </c>
      <c r="C28" t="s">
        <v>1012</v>
      </c>
      <c r="D28" t="s">
        <v>1013</v>
      </c>
    </row>
    <row r="29" spans="1:4" x14ac:dyDescent="0.25">
      <c r="A29" t="s">
        <v>1352</v>
      </c>
      <c r="B29" t="s">
        <v>1353</v>
      </c>
      <c r="C29" t="s">
        <v>1012</v>
      </c>
      <c r="D29" t="s">
        <v>1013</v>
      </c>
    </row>
    <row r="30" spans="1:4" x14ac:dyDescent="0.25">
      <c r="A30" t="s">
        <v>1363</v>
      </c>
      <c r="B30" t="s">
        <v>1364</v>
      </c>
      <c r="C30" t="s">
        <v>1012</v>
      </c>
      <c r="D30" t="s">
        <v>1013</v>
      </c>
    </row>
    <row r="31" spans="1:4" x14ac:dyDescent="0.25">
      <c r="A31" t="s">
        <v>1388</v>
      </c>
      <c r="B31" t="s">
        <v>1389</v>
      </c>
      <c r="C31" t="s">
        <v>1012</v>
      </c>
      <c r="D31" t="s">
        <v>1013</v>
      </c>
    </row>
    <row r="32" spans="1:4" x14ac:dyDescent="0.25">
      <c r="A32" t="s">
        <v>1395</v>
      </c>
      <c r="B32" t="s">
        <v>1396</v>
      </c>
      <c r="C32" t="s">
        <v>1012</v>
      </c>
      <c r="D32" t="s">
        <v>1013</v>
      </c>
    </row>
    <row r="33" spans="1:4" x14ac:dyDescent="0.25">
      <c r="A33" t="s">
        <v>1418</v>
      </c>
      <c r="B33" t="s">
        <v>1419</v>
      </c>
      <c r="C33" t="s">
        <v>1012</v>
      </c>
      <c r="D33" t="s">
        <v>1013</v>
      </c>
    </row>
    <row r="34" spans="1:4" x14ac:dyDescent="0.25">
      <c r="A34" t="s">
        <v>1439</v>
      </c>
      <c r="B34" t="s">
        <v>1438</v>
      </c>
      <c r="C34" t="s">
        <v>1437</v>
      </c>
      <c r="D34" t="s">
        <v>1438</v>
      </c>
    </row>
    <row r="35" spans="1:4" x14ac:dyDescent="0.25">
      <c r="A35" t="s">
        <v>1459</v>
      </c>
      <c r="B35" t="s">
        <v>1460</v>
      </c>
      <c r="C35" t="s">
        <v>1457</v>
      </c>
      <c r="D35" t="s">
        <v>1458</v>
      </c>
    </row>
    <row r="36" spans="1:4" x14ac:dyDescent="0.25">
      <c r="A36" t="s">
        <v>1463</v>
      </c>
      <c r="B36" t="s">
        <v>1464</v>
      </c>
      <c r="C36" t="s">
        <v>1457</v>
      </c>
      <c r="D36" t="s">
        <v>1458</v>
      </c>
    </row>
    <row r="37" spans="1:4" x14ac:dyDescent="0.25">
      <c r="A37" t="s">
        <v>1467</v>
      </c>
      <c r="B37" t="s">
        <v>1468</v>
      </c>
      <c r="C37" t="s">
        <v>1457</v>
      </c>
      <c r="D37" t="s">
        <v>1458</v>
      </c>
    </row>
    <row r="38" spans="1:4" x14ac:dyDescent="0.25">
      <c r="A38" t="s">
        <v>1484</v>
      </c>
      <c r="B38" t="s">
        <v>1485</v>
      </c>
      <c r="C38" t="s">
        <v>1457</v>
      </c>
      <c r="D38" t="s">
        <v>1458</v>
      </c>
    </row>
    <row r="39" spans="1:4" x14ac:dyDescent="0.25">
      <c r="A39" t="s">
        <v>1490</v>
      </c>
      <c r="B39" t="s">
        <v>1491</v>
      </c>
      <c r="C39" t="s">
        <v>1488</v>
      </c>
      <c r="D39" t="s">
        <v>1489</v>
      </c>
    </row>
    <row r="40" spans="1:4" x14ac:dyDescent="0.25">
      <c r="A40" t="s">
        <v>1494</v>
      </c>
      <c r="B40" t="s">
        <v>1495</v>
      </c>
      <c r="C40" t="s">
        <v>1488</v>
      </c>
      <c r="D40" t="s">
        <v>1489</v>
      </c>
    </row>
    <row r="41" spans="1:4" x14ac:dyDescent="0.25">
      <c r="A41" t="s">
        <v>1505</v>
      </c>
      <c r="B41" t="s">
        <v>1506</v>
      </c>
      <c r="C41" t="s">
        <v>1488</v>
      </c>
      <c r="D41" t="s">
        <v>1489</v>
      </c>
    </row>
    <row r="42" spans="1:4" x14ac:dyDescent="0.25">
      <c r="A42" t="s">
        <v>1532</v>
      </c>
      <c r="B42" t="s">
        <v>1533</v>
      </c>
      <c r="C42" t="s">
        <v>1530</v>
      </c>
      <c r="D42" t="s">
        <v>1531</v>
      </c>
    </row>
    <row r="43" spans="1:4" x14ac:dyDescent="0.25">
      <c r="A43" t="s">
        <v>1582</v>
      </c>
      <c r="B43" t="s">
        <v>1583</v>
      </c>
      <c r="C43" t="s">
        <v>1530</v>
      </c>
      <c r="D43" t="s">
        <v>1531</v>
      </c>
    </row>
    <row r="44" spans="1:4" x14ac:dyDescent="0.25">
      <c r="A44" t="s">
        <v>1647</v>
      </c>
      <c r="B44" t="s">
        <v>1648</v>
      </c>
      <c r="C44" t="s">
        <v>1645</v>
      </c>
      <c r="D44" t="s">
        <v>1646</v>
      </c>
    </row>
    <row r="45" spans="1:4" x14ac:dyDescent="0.25">
      <c r="A45" t="s">
        <v>1666</v>
      </c>
      <c r="B45" t="s">
        <v>1667</v>
      </c>
      <c r="C45" t="s">
        <v>1645</v>
      </c>
      <c r="D45" t="s">
        <v>1646</v>
      </c>
    </row>
    <row r="46" spans="1:4" x14ac:dyDescent="0.25">
      <c r="A46" t="s">
        <v>1680</v>
      </c>
      <c r="B46" t="s">
        <v>1681</v>
      </c>
      <c r="C46" t="s">
        <v>1645</v>
      </c>
      <c r="D46" t="s">
        <v>1646</v>
      </c>
    </row>
    <row r="47" spans="1:4" x14ac:dyDescent="0.25">
      <c r="A47" t="s">
        <v>1688</v>
      </c>
      <c r="B47" t="s">
        <v>1689</v>
      </c>
      <c r="C47" t="s">
        <v>1645</v>
      </c>
      <c r="D47" t="s">
        <v>1646</v>
      </c>
    </row>
    <row r="48" spans="1:4" x14ac:dyDescent="0.25">
      <c r="A48" t="s">
        <v>1711</v>
      </c>
      <c r="B48" t="s">
        <v>1712</v>
      </c>
      <c r="C48" t="s">
        <v>1645</v>
      </c>
      <c r="D48" t="s">
        <v>1646</v>
      </c>
    </row>
    <row r="49" spans="1:4" x14ac:dyDescent="0.25">
      <c r="A49" t="s">
        <v>1724</v>
      </c>
      <c r="B49" t="s">
        <v>1725</v>
      </c>
      <c r="C49" t="s">
        <v>1722</v>
      </c>
      <c r="D49" t="s">
        <v>1723</v>
      </c>
    </row>
    <row r="50" spans="1:4" x14ac:dyDescent="0.25">
      <c r="A50" t="s">
        <v>1741</v>
      </c>
      <c r="B50" t="s">
        <v>1742</v>
      </c>
      <c r="C50" t="s">
        <v>1722</v>
      </c>
      <c r="D50" t="s">
        <v>1723</v>
      </c>
    </row>
    <row r="51" spans="1:4" x14ac:dyDescent="0.25">
      <c r="A51" t="s">
        <v>1760</v>
      </c>
      <c r="B51" t="s">
        <v>1761</v>
      </c>
      <c r="C51" t="s">
        <v>1758</v>
      </c>
      <c r="D51" t="s">
        <v>1759</v>
      </c>
    </row>
    <row r="52" spans="1:4" x14ac:dyDescent="0.25">
      <c r="A52" t="s">
        <v>1778</v>
      </c>
      <c r="B52" t="s">
        <v>1779</v>
      </c>
      <c r="C52" t="s">
        <v>1758</v>
      </c>
      <c r="D52" t="s">
        <v>1759</v>
      </c>
    </row>
    <row r="53" spans="1:4" x14ac:dyDescent="0.25">
      <c r="A53" t="s">
        <v>1793</v>
      </c>
      <c r="B53" t="s">
        <v>1794</v>
      </c>
      <c r="C53" t="s">
        <v>1758</v>
      </c>
      <c r="D53" t="s">
        <v>1759</v>
      </c>
    </row>
    <row r="54" spans="1:4" x14ac:dyDescent="0.25">
      <c r="A54" t="s">
        <v>1809</v>
      </c>
      <c r="B54" t="s">
        <v>1810</v>
      </c>
      <c r="C54" t="s">
        <v>1807</v>
      </c>
      <c r="D54" t="s">
        <v>1808</v>
      </c>
    </row>
    <row r="55" spans="1:4" x14ac:dyDescent="0.25">
      <c r="A55" t="s">
        <v>1820</v>
      </c>
      <c r="B55" t="s">
        <v>1821</v>
      </c>
      <c r="C55" t="s">
        <v>1807</v>
      </c>
      <c r="D55" t="s">
        <v>1808</v>
      </c>
    </row>
    <row r="56" spans="1:4" x14ac:dyDescent="0.25">
      <c r="A56" t="s">
        <v>1834</v>
      </c>
      <c r="B56" t="s">
        <v>1835</v>
      </c>
      <c r="C56" t="s">
        <v>1807</v>
      </c>
      <c r="D56" t="s">
        <v>1808</v>
      </c>
    </row>
    <row r="57" spans="1:4" x14ac:dyDescent="0.25">
      <c r="A57" t="s">
        <v>1844</v>
      </c>
      <c r="B57" t="s">
        <v>1845</v>
      </c>
      <c r="C57" t="s">
        <v>1842</v>
      </c>
      <c r="D57" t="s">
        <v>1843</v>
      </c>
    </row>
    <row r="58" spans="1:4" x14ac:dyDescent="0.25">
      <c r="A58" t="s">
        <v>1880</v>
      </c>
      <c r="B58" t="s">
        <v>1881</v>
      </c>
      <c r="C58" t="s">
        <v>1842</v>
      </c>
      <c r="D58" t="s">
        <v>1843</v>
      </c>
    </row>
    <row r="59" spans="1:4" x14ac:dyDescent="0.25">
      <c r="A59" t="s">
        <v>1894</v>
      </c>
      <c r="B59" t="s">
        <v>1895</v>
      </c>
      <c r="C59" t="s">
        <v>1842</v>
      </c>
      <c r="D59" t="s">
        <v>1843</v>
      </c>
    </row>
    <row r="60" spans="1:4" x14ac:dyDescent="0.25">
      <c r="A60" t="s">
        <v>1917</v>
      </c>
      <c r="B60" t="s">
        <v>1916</v>
      </c>
      <c r="C60" t="s">
        <v>1915</v>
      </c>
      <c r="D60" t="s">
        <v>1916</v>
      </c>
    </row>
    <row r="61" spans="1:4" x14ac:dyDescent="0.25">
      <c r="A61" t="s">
        <v>1929</v>
      </c>
      <c r="B61" t="s">
        <v>1930</v>
      </c>
      <c r="C61" t="s">
        <v>1927</v>
      </c>
      <c r="D61" t="s">
        <v>1928</v>
      </c>
    </row>
    <row r="62" spans="1:4" x14ac:dyDescent="0.25">
      <c r="A62" t="s">
        <v>1937</v>
      </c>
      <c r="B62" t="s">
        <v>1938</v>
      </c>
      <c r="C62" t="s">
        <v>1927</v>
      </c>
      <c r="D62" t="s">
        <v>1928</v>
      </c>
    </row>
    <row r="63" spans="1:4" x14ac:dyDescent="0.25">
      <c r="A63" t="s">
        <v>1945</v>
      </c>
      <c r="B63" t="s">
        <v>1946</v>
      </c>
      <c r="C63" t="s">
        <v>1927</v>
      </c>
      <c r="D63" t="s">
        <v>1928</v>
      </c>
    </row>
    <row r="64" spans="1:4" x14ac:dyDescent="0.25">
      <c r="A64" t="s">
        <v>1953</v>
      </c>
      <c r="B64" t="s">
        <v>1954</v>
      </c>
      <c r="C64" t="s">
        <v>1927</v>
      </c>
      <c r="D64" t="s">
        <v>1928</v>
      </c>
    </row>
    <row r="65" spans="1:4" x14ac:dyDescent="0.25">
      <c r="A65" t="s">
        <v>1961</v>
      </c>
      <c r="B65" t="s">
        <v>1962</v>
      </c>
      <c r="C65" t="s">
        <v>1927</v>
      </c>
      <c r="D65" t="s">
        <v>1928</v>
      </c>
    </row>
    <row r="66" spans="1:4" x14ac:dyDescent="0.25">
      <c r="A66" t="s">
        <v>1972</v>
      </c>
      <c r="B66" t="s">
        <v>1973</v>
      </c>
      <c r="C66" t="s">
        <v>1927</v>
      </c>
      <c r="D66" t="s">
        <v>1928</v>
      </c>
    </row>
    <row r="67" spans="1:4" x14ac:dyDescent="0.25">
      <c r="A67" t="s">
        <v>1989</v>
      </c>
      <c r="B67" t="s">
        <v>1990</v>
      </c>
      <c r="C67" t="s">
        <v>1927</v>
      </c>
      <c r="D67" t="s">
        <v>1928</v>
      </c>
    </row>
    <row r="68" spans="1:4" x14ac:dyDescent="0.25">
      <c r="A68" t="s">
        <v>1995</v>
      </c>
      <c r="B68" t="s">
        <v>1996</v>
      </c>
      <c r="C68" t="s">
        <v>1993</v>
      </c>
      <c r="D68" t="s">
        <v>1994</v>
      </c>
    </row>
    <row r="69" spans="1:4" x14ac:dyDescent="0.25">
      <c r="A69" t="s">
        <v>2018</v>
      </c>
      <c r="B69" t="s">
        <v>2019</v>
      </c>
      <c r="C69" t="s">
        <v>1993</v>
      </c>
      <c r="D69" t="s">
        <v>1994</v>
      </c>
    </row>
    <row r="70" spans="1:4" x14ac:dyDescent="0.25">
      <c r="A70" t="s">
        <v>2026</v>
      </c>
      <c r="B70" t="s">
        <v>2027</v>
      </c>
      <c r="C70" t="s">
        <v>1993</v>
      </c>
      <c r="D70" t="s">
        <v>1994</v>
      </c>
    </row>
    <row r="71" spans="1:4" x14ac:dyDescent="0.25">
      <c r="A71" t="s">
        <v>2037</v>
      </c>
      <c r="B71" t="s">
        <v>2038</v>
      </c>
      <c r="C71" t="s">
        <v>1993</v>
      </c>
      <c r="D71" t="s">
        <v>1994</v>
      </c>
    </row>
    <row r="72" spans="1:4" x14ac:dyDescent="0.25">
      <c r="A72" t="s">
        <v>2044</v>
      </c>
      <c r="B72" t="s">
        <v>2045</v>
      </c>
      <c r="C72" t="s">
        <v>1993</v>
      </c>
      <c r="D72" t="s">
        <v>1994</v>
      </c>
    </row>
    <row r="73" spans="1:4" x14ac:dyDescent="0.25">
      <c r="A73" t="s">
        <v>2058</v>
      </c>
      <c r="B73" t="s">
        <v>2059</v>
      </c>
      <c r="C73" t="s">
        <v>1993</v>
      </c>
      <c r="D73" t="s">
        <v>1994</v>
      </c>
    </row>
    <row r="74" spans="1:4" x14ac:dyDescent="0.25">
      <c r="A74" t="s">
        <v>2082</v>
      </c>
      <c r="B74" t="s">
        <v>2081</v>
      </c>
      <c r="C74" t="s">
        <v>2080</v>
      </c>
      <c r="D74" t="s">
        <v>2081</v>
      </c>
    </row>
    <row r="75" spans="1:4" x14ac:dyDescent="0.25">
      <c r="A75" t="s">
        <v>2106</v>
      </c>
      <c r="B75" t="s">
        <v>2105</v>
      </c>
      <c r="C75" t="s">
        <v>2104</v>
      </c>
      <c r="D75" t="s">
        <v>2105</v>
      </c>
    </row>
    <row r="76" spans="1:4" x14ac:dyDescent="0.25">
      <c r="A76" t="s">
        <v>2142</v>
      </c>
      <c r="B76" t="s">
        <v>2143</v>
      </c>
      <c r="C76" t="s">
        <v>2140</v>
      </c>
      <c r="D76" t="s">
        <v>2141</v>
      </c>
    </row>
    <row r="77" spans="1:4" x14ac:dyDescent="0.25">
      <c r="A77" t="s">
        <v>2156</v>
      </c>
      <c r="B77" t="s">
        <v>2157</v>
      </c>
      <c r="C77" t="s">
        <v>2140</v>
      </c>
      <c r="D77" t="s">
        <v>2141</v>
      </c>
    </row>
    <row r="78" spans="1:4" x14ac:dyDescent="0.25">
      <c r="A78" t="s">
        <v>2173</v>
      </c>
      <c r="B78" t="s">
        <v>2174</v>
      </c>
      <c r="C78" t="s">
        <v>2140</v>
      </c>
      <c r="D78" t="s">
        <v>2141</v>
      </c>
    </row>
    <row r="79" spans="1:4" x14ac:dyDescent="0.25">
      <c r="A79" t="s">
        <v>2183</v>
      </c>
      <c r="B79" t="s">
        <v>2184</v>
      </c>
      <c r="C79" t="s">
        <v>2181</v>
      </c>
      <c r="D79" t="s">
        <v>2182</v>
      </c>
    </row>
    <row r="80" spans="1:4" x14ac:dyDescent="0.25">
      <c r="A80" t="s">
        <v>2202</v>
      </c>
      <c r="B80" t="s">
        <v>2203</v>
      </c>
      <c r="C80" t="s">
        <v>2181</v>
      </c>
      <c r="D80" t="s">
        <v>2182</v>
      </c>
    </row>
    <row r="81" spans="1:4" x14ac:dyDescent="0.25">
      <c r="A81" t="s">
        <v>2225</v>
      </c>
      <c r="B81" t="s">
        <v>2226</v>
      </c>
      <c r="C81" t="s">
        <v>2181</v>
      </c>
      <c r="D81" t="s">
        <v>2182</v>
      </c>
    </row>
    <row r="82" spans="1:4" x14ac:dyDescent="0.25">
      <c r="A82" t="s">
        <v>2229</v>
      </c>
      <c r="B82" t="s">
        <v>2230</v>
      </c>
      <c r="C82" t="s">
        <v>2181</v>
      </c>
      <c r="D82" t="s">
        <v>2182</v>
      </c>
    </row>
    <row r="83" spans="1:4" x14ac:dyDescent="0.25">
      <c r="A83" t="s">
        <v>2247</v>
      </c>
      <c r="B83" t="s">
        <v>2248</v>
      </c>
      <c r="C83" t="s">
        <v>2245</v>
      </c>
      <c r="D83" t="s">
        <v>2246</v>
      </c>
    </row>
    <row r="84" spans="1:4" x14ac:dyDescent="0.25">
      <c r="A84" t="s">
        <v>2266</v>
      </c>
      <c r="B84" t="s">
        <v>2267</v>
      </c>
      <c r="C84" t="s">
        <v>2245</v>
      </c>
      <c r="D84" t="s">
        <v>2246</v>
      </c>
    </row>
    <row r="85" spans="1:4" x14ac:dyDescent="0.25">
      <c r="A85" t="s">
        <v>2292</v>
      </c>
      <c r="B85" t="s">
        <v>2293</v>
      </c>
      <c r="C85" t="s">
        <v>2245</v>
      </c>
      <c r="D85" t="s">
        <v>2246</v>
      </c>
    </row>
    <row r="86" spans="1:4" x14ac:dyDescent="0.25">
      <c r="A86" t="s">
        <v>2316</v>
      </c>
      <c r="B86" t="s">
        <v>2317</v>
      </c>
      <c r="C86" t="s">
        <v>2314</v>
      </c>
      <c r="D86" t="s">
        <v>2315</v>
      </c>
    </row>
    <row r="87" spans="1:4" x14ac:dyDescent="0.25">
      <c r="A87" t="s">
        <v>2320</v>
      </c>
      <c r="B87" t="s">
        <v>2321</v>
      </c>
      <c r="C87" t="s">
        <v>2314</v>
      </c>
      <c r="D87" t="s">
        <v>2315</v>
      </c>
    </row>
    <row r="88" spans="1:4" x14ac:dyDescent="0.25">
      <c r="A88" t="s">
        <v>2330</v>
      </c>
      <c r="B88" t="s">
        <v>2329</v>
      </c>
      <c r="C88" t="s">
        <v>2328</v>
      </c>
      <c r="D88" t="s">
        <v>2329</v>
      </c>
    </row>
    <row r="116" spans="3:4" x14ac:dyDescent="0.25">
      <c r="C116" t="s">
        <v>2339</v>
      </c>
      <c r="D116" t="s">
        <v>2341</v>
      </c>
    </row>
    <row r="117" spans="3:4" x14ac:dyDescent="0.25">
      <c r="C117" t="s">
        <v>858</v>
      </c>
      <c r="D117" t="s">
        <v>859</v>
      </c>
    </row>
    <row r="118" spans="3:4" x14ac:dyDescent="0.25">
      <c r="C118" t="s">
        <v>874</v>
      </c>
      <c r="D118" t="s">
        <v>875</v>
      </c>
    </row>
    <row r="119" spans="3:4" x14ac:dyDescent="0.25">
      <c r="C119" t="s">
        <v>894</v>
      </c>
      <c r="D119" t="s">
        <v>895</v>
      </c>
    </row>
    <row r="120" spans="3:4" x14ac:dyDescent="0.25">
      <c r="C120" t="s">
        <v>897</v>
      </c>
      <c r="D120" t="s">
        <v>898</v>
      </c>
    </row>
    <row r="121" spans="3:4" x14ac:dyDescent="0.25">
      <c r="C121" t="s">
        <v>913</v>
      </c>
      <c r="D121" t="s">
        <v>914</v>
      </c>
    </row>
    <row r="122" spans="3:4" x14ac:dyDescent="0.25">
      <c r="C122" t="s">
        <v>916</v>
      </c>
      <c r="D122" t="s">
        <v>917</v>
      </c>
    </row>
    <row r="123" spans="3:4" x14ac:dyDescent="0.25">
      <c r="C123" t="s">
        <v>926</v>
      </c>
      <c r="D123" t="s">
        <v>927</v>
      </c>
    </row>
    <row r="124" spans="3:4" x14ac:dyDescent="0.25">
      <c r="C124" t="s">
        <v>931</v>
      </c>
      <c r="D124" t="s">
        <v>932</v>
      </c>
    </row>
    <row r="125" spans="3:4" x14ac:dyDescent="0.25">
      <c r="C125" t="s">
        <v>934</v>
      </c>
      <c r="D125" t="s">
        <v>935</v>
      </c>
    </row>
    <row r="126" spans="3:4" x14ac:dyDescent="0.25">
      <c r="C126" t="s">
        <v>937</v>
      </c>
      <c r="D126" t="s">
        <v>938</v>
      </c>
    </row>
    <row r="127" spans="3:4" x14ac:dyDescent="0.25">
      <c r="C127" t="s">
        <v>940</v>
      </c>
      <c r="D127" t="s">
        <v>941</v>
      </c>
    </row>
    <row r="128" spans="3:4" x14ac:dyDescent="0.25">
      <c r="C128" t="s">
        <v>945</v>
      </c>
      <c r="D128" t="s">
        <v>946</v>
      </c>
    </row>
    <row r="129" spans="3:4" x14ac:dyDescent="0.25">
      <c r="C129" t="s">
        <v>951</v>
      </c>
      <c r="D129" t="s">
        <v>952</v>
      </c>
    </row>
    <row r="130" spans="3:4" x14ac:dyDescent="0.25">
      <c r="C130" t="s">
        <v>957</v>
      </c>
      <c r="D130" t="s">
        <v>958</v>
      </c>
    </row>
    <row r="131" spans="3:4" x14ac:dyDescent="0.25">
      <c r="C131" t="s">
        <v>964</v>
      </c>
      <c r="D131" t="s">
        <v>965</v>
      </c>
    </row>
    <row r="132" spans="3:4" x14ac:dyDescent="0.25">
      <c r="C132" t="s">
        <v>967</v>
      </c>
      <c r="D132" t="s">
        <v>968</v>
      </c>
    </row>
    <row r="133" spans="3:4" x14ac:dyDescent="0.25">
      <c r="C133" t="s">
        <v>972</v>
      </c>
      <c r="D133" t="s">
        <v>973</v>
      </c>
    </row>
    <row r="134" spans="3:4" x14ac:dyDescent="0.25">
      <c r="C134" t="s">
        <v>975</v>
      </c>
      <c r="D134" t="s">
        <v>976</v>
      </c>
    </row>
    <row r="135" spans="3:4" x14ac:dyDescent="0.25">
      <c r="C135" t="s">
        <v>980</v>
      </c>
      <c r="D135" t="s">
        <v>981</v>
      </c>
    </row>
    <row r="136" spans="3:4" x14ac:dyDescent="0.25">
      <c r="C136" t="s">
        <v>983</v>
      </c>
      <c r="D136" t="s">
        <v>984</v>
      </c>
    </row>
    <row r="137" spans="3:4" x14ac:dyDescent="0.25">
      <c r="C137" t="s">
        <v>991</v>
      </c>
      <c r="D137" t="s">
        <v>992</v>
      </c>
    </row>
    <row r="138" spans="3:4" x14ac:dyDescent="0.25">
      <c r="C138" t="s">
        <v>994</v>
      </c>
      <c r="D138" t="s">
        <v>995</v>
      </c>
    </row>
    <row r="139" spans="3:4" x14ac:dyDescent="0.25">
      <c r="C139" t="s">
        <v>1006</v>
      </c>
      <c r="D139" t="s">
        <v>1007</v>
      </c>
    </row>
    <row r="140" spans="3:4" x14ac:dyDescent="0.25">
      <c r="C140" t="s">
        <v>1009</v>
      </c>
      <c r="D140" t="s">
        <v>1010</v>
      </c>
    </row>
    <row r="141" spans="3:4" x14ac:dyDescent="0.25">
      <c r="C141" t="s">
        <v>1016</v>
      </c>
      <c r="D141" t="s">
        <v>1017</v>
      </c>
    </row>
    <row r="142" spans="3:4" x14ac:dyDescent="0.25">
      <c r="C142" t="s">
        <v>1019</v>
      </c>
      <c r="D142" t="s">
        <v>1020</v>
      </c>
    </row>
    <row r="143" spans="3:4" x14ac:dyDescent="0.25">
      <c r="C143" t="s">
        <v>1022</v>
      </c>
      <c r="D143" t="s">
        <v>1023</v>
      </c>
    </row>
    <row r="144" spans="3:4" x14ac:dyDescent="0.25">
      <c r="C144" t="s">
        <v>1025</v>
      </c>
      <c r="D144" t="s">
        <v>1026</v>
      </c>
    </row>
    <row r="145" spans="3:4" x14ac:dyDescent="0.25">
      <c r="C145" t="s">
        <v>1028</v>
      </c>
      <c r="D145" t="s">
        <v>1029</v>
      </c>
    </row>
    <row r="146" spans="3:4" x14ac:dyDescent="0.25">
      <c r="C146" t="s">
        <v>1031</v>
      </c>
      <c r="D146" t="s">
        <v>1032</v>
      </c>
    </row>
    <row r="147" spans="3:4" x14ac:dyDescent="0.25">
      <c r="C147" t="s">
        <v>1037</v>
      </c>
      <c r="D147" t="s">
        <v>1038</v>
      </c>
    </row>
    <row r="148" spans="3:4" x14ac:dyDescent="0.25">
      <c r="C148" t="s">
        <v>1053</v>
      </c>
      <c r="D148" t="s">
        <v>1054</v>
      </c>
    </row>
    <row r="149" spans="3:4" x14ac:dyDescent="0.25">
      <c r="C149" t="s">
        <v>1058</v>
      </c>
      <c r="D149" t="s">
        <v>1057</v>
      </c>
    </row>
    <row r="150" spans="3:4" x14ac:dyDescent="0.25">
      <c r="C150" t="s">
        <v>1071</v>
      </c>
      <c r="D150" t="s">
        <v>1070</v>
      </c>
    </row>
    <row r="151" spans="3:4" x14ac:dyDescent="0.25">
      <c r="C151" t="s">
        <v>1075</v>
      </c>
      <c r="D151" t="s">
        <v>1076</v>
      </c>
    </row>
    <row r="152" spans="3:4" x14ac:dyDescent="0.25">
      <c r="C152" t="s">
        <v>1083</v>
      </c>
      <c r="D152" t="s">
        <v>1084</v>
      </c>
    </row>
    <row r="153" spans="3:4" x14ac:dyDescent="0.25">
      <c r="C153" t="s">
        <v>1097</v>
      </c>
      <c r="D153" t="s">
        <v>1098</v>
      </c>
    </row>
    <row r="154" spans="3:4" x14ac:dyDescent="0.25">
      <c r="C154" t="s">
        <v>1100</v>
      </c>
      <c r="D154" t="s">
        <v>1101</v>
      </c>
    </row>
    <row r="155" spans="3:4" x14ac:dyDescent="0.25">
      <c r="C155" t="s">
        <v>1103</v>
      </c>
      <c r="D155" t="s">
        <v>1104</v>
      </c>
    </row>
    <row r="156" spans="3:4" x14ac:dyDescent="0.25">
      <c r="C156" t="s">
        <v>1108</v>
      </c>
      <c r="D156" t="s">
        <v>1109</v>
      </c>
    </row>
    <row r="157" spans="3:4" x14ac:dyDescent="0.25">
      <c r="C157" t="s">
        <v>1114</v>
      </c>
      <c r="D157" t="s">
        <v>1115</v>
      </c>
    </row>
    <row r="158" spans="3:4" x14ac:dyDescent="0.25">
      <c r="C158" t="s">
        <v>1119</v>
      </c>
      <c r="D158" t="s">
        <v>1120</v>
      </c>
    </row>
    <row r="159" spans="3:4" x14ac:dyDescent="0.25">
      <c r="C159" t="s">
        <v>1122</v>
      </c>
      <c r="D159" t="s">
        <v>1123</v>
      </c>
    </row>
    <row r="160" spans="3:4" x14ac:dyDescent="0.25">
      <c r="C160" t="s">
        <v>1134</v>
      </c>
      <c r="D160" t="s">
        <v>1133</v>
      </c>
    </row>
    <row r="161" spans="3:4" x14ac:dyDescent="0.25">
      <c r="C161" t="s">
        <v>1143</v>
      </c>
      <c r="D161" t="s">
        <v>1144</v>
      </c>
    </row>
    <row r="162" spans="3:4" x14ac:dyDescent="0.25">
      <c r="C162" t="s">
        <v>1149</v>
      </c>
      <c r="D162" t="s">
        <v>1150</v>
      </c>
    </row>
    <row r="163" spans="3:4" x14ac:dyDescent="0.25">
      <c r="C163" t="s">
        <v>1154</v>
      </c>
      <c r="D163" t="s">
        <v>1155</v>
      </c>
    </row>
    <row r="164" spans="3:4" x14ac:dyDescent="0.25">
      <c r="C164" t="s">
        <v>1157</v>
      </c>
      <c r="D164" t="s">
        <v>1158</v>
      </c>
    </row>
    <row r="165" spans="3:4" x14ac:dyDescent="0.25">
      <c r="C165" t="s">
        <v>1162</v>
      </c>
      <c r="D165" t="s">
        <v>1163</v>
      </c>
    </row>
    <row r="166" spans="3:4" x14ac:dyDescent="0.25">
      <c r="C166" t="s">
        <v>1170</v>
      </c>
      <c r="D166" t="s">
        <v>1171</v>
      </c>
    </row>
    <row r="167" spans="3:4" x14ac:dyDescent="0.25">
      <c r="C167" t="s">
        <v>1180</v>
      </c>
      <c r="D167" t="s">
        <v>1181</v>
      </c>
    </row>
    <row r="168" spans="3:4" x14ac:dyDescent="0.25">
      <c r="C168" t="s">
        <v>1185</v>
      </c>
      <c r="D168" t="s">
        <v>1186</v>
      </c>
    </row>
    <row r="169" spans="3:4" x14ac:dyDescent="0.25">
      <c r="C169" t="s">
        <v>1190</v>
      </c>
      <c r="D169" t="s">
        <v>1191</v>
      </c>
    </row>
    <row r="170" spans="3:4" x14ac:dyDescent="0.25">
      <c r="C170" t="s">
        <v>1196</v>
      </c>
      <c r="D170" t="s">
        <v>1197</v>
      </c>
    </row>
    <row r="171" spans="3:4" x14ac:dyDescent="0.25">
      <c r="C171" t="s">
        <v>1201</v>
      </c>
      <c r="D171" t="s">
        <v>1202</v>
      </c>
    </row>
    <row r="172" spans="3:4" x14ac:dyDescent="0.25">
      <c r="C172" t="s">
        <v>1204</v>
      </c>
      <c r="D172" t="s">
        <v>1205</v>
      </c>
    </row>
    <row r="173" spans="3:4" x14ac:dyDescent="0.25">
      <c r="C173" t="s">
        <v>1222</v>
      </c>
      <c r="D173" t="s">
        <v>1223</v>
      </c>
    </row>
    <row r="174" spans="3:4" x14ac:dyDescent="0.25">
      <c r="C174" t="s">
        <v>1225</v>
      </c>
      <c r="D174" t="s">
        <v>1226</v>
      </c>
    </row>
    <row r="175" spans="3:4" x14ac:dyDescent="0.25">
      <c r="C175" t="s">
        <v>1228</v>
      </c>
      <c r="D175" t="s">
        <v>1229</v>
      </c>
    </row>
    <row r="176" spans="3:4" x14ac:dyDescent="0.25">
      <c r="C176" t="s">
        <v>1236</v>
      </c>
      <c r="D176" t="s">
        <v>1237</v>
      </c>
    </row>
    <row r="177" spans="3:4" x14ac:dyDescent="0.25">
      <c r="C177" t="s">
        <v>1244</v>
      </c>
      <c r="D177" t="s">
        <v>1245</v>
      </c>
    </row>
    <row r="178" spans="3:4" x14ac:dyDescent="0.25">
      <c r="C178" t="s">
        <v>1247</v>
      </c>
      <c r="D178" t="s">
        <v>1248</v>
      </c>
    </row>
    <row r="179" spans="3:4" x14ac:dyDescent="0.25">
      <c r="C179" t="s">
        <v>1259</v>
      </c>
      <c r="D179" t="s">
        <v>1260</v>
      </c>
    </row>
    <row r="180" spans="3:4" x14ac:dyDescent="0.25">
      <c r="C180" t="s">
        <v>1265</v>
      </c>
      <c r="D180" t="s">
        <v>1266</v>
      </c>
    </row>
    <row r="181" spans="3:4" x14ac:dyDescent="0.25">
      <c r="C181" t="s">
        <v>1268</v>
      </c>
      <c r="D181" t="s">
        <v>1269</v>
      </c>
    </row>
    <row r="182" spans="3:4" x14ac:dyDescent="0.25">
      <c r="C182" t="s">
        <v>1271</v>
      </c>
      <c r="D182" t="s">
        <v>1272</v>
      </c>
    </row>
    <row r="183" spans="3:4" x14ac:dyDescent="0.25">
      <c r="C183" t="s">
        <v>1274</v>
      </c>
      <c r="D183" t="s">
        <v>1275</v>
      </c>
    </row>
    <row r="184" spans="3:4" x14ac:dyDescent="0.25">
      <c r="C184" t="s">
        <v>1280</v>
      </c>
      <c r="D184" t="s">
        <v>1281</v>
      </c>
    </row>
    <row r="185" spans="3:4" x14ac:dyDescent="0.25">
      <c r="C185" t="s">
        <v>1283</v>
      </c>
      <c r="D185" t="s">
        <v>1284</v>
      </c>
    </row>
    <row r="186" spans="3:4" x14ac:dyDescent="0.25">
      <c r="C186" t="s">
        <v>1286</v>
      </c>
      <c r="D186" t="s">
        <v>1287</v>
      </c>
    </row>
    <row r="187" spans="3:4" x14ac:dyDescent="0.25">
      <c r="C187" t="s">
        <v>1291</v>
      </c>
      <c r="D187" t="s">
        <v>1292</v>
      </c>
    </row>
    <row r="188" spans="3:4" x14ac:dyDescent="0.25">
      <c r="C188" t="s">
        <v>1294</v>
      </c>
      <c r="D188" t="s">
        <v>1295</v>
      </c>
    </row>
    <row r="189" spans="3:4" x14ac:dyDescent="0.25">
      <c r="C189" t="s">
        <v>1297</v>
      </c>
      <c r="D189" t="s">
        <v>1298</v>
      </c>
    </row>
    <row r="190" spans="3:4" x14ac:dyDescent="0.25">
      <c r="C190" t="s">
        <v>1305</v>
      </c>
      <c r="D190" t="s">
        <v>1306</v>
      </c>
    </row>
    <row r="191" spans="3:4" x14ac:dyDescent="0.25">
      <c r="C191" t="s">
        <v>1308</v>
      </c>
      <c r="D191" t="s">
        <v>1309</v>
      </c>
    </row>
    <row r="192" spans="3:4" x14ac:dyDescent="0.25">
      <c r="C192" t="s">
        <v>1311</v>
      </c>
      <c r="D192" t="s">
        <v>1312</v>
      </c>
    </row>
    <row r="193" spans="3:4" x14ac:dyDescent="0.25">
      <c r="C193" t="s">
        <v>1316</v>
      </c>
      <c r="D193" t="s">
        <v>1317</v>
      </c>
    </row>
    <row r="194" spans="3:4" x14ac:dyDescent="0.25">
      <c r="C194" t="s">
        <v>1336</v>
      </c>
      <c r="D194" t="s">
        <v>1337</v>
      </c>
    </row>
    <row r="195" spans="3:4" x14ac:dyDescent="0.25">
      <c r="C195" t="s">
        <v>1354</v>
      </c>
      <c r="D195" t="s">
        <v>1355</v>
      </c>
    </row>
    <row r="196" spans="3:4" x14ac:dyDescent="0.25">
      <c r="C196" t="s">
        <v>1357</v>
      </c>
      <c r="D196" t="s">
        <v>1358</v>
      </c>
    </row>
    <row r="197" spans="3:4" x14ac:dyDescent="0.25">
      <c r="C197" t="s">
        <v>1360</v>
      </c>
      <c r="D197" t="s">
        <v>1361</v>
      </c>
    </row>
    <row r="198" spans="3:4" x14ac:dyDescent="0.25">
      <c r="C198" t="s">
        <v>1365</v>
      </c>
      <c r="D198" t="s">
        <v>1366</v>
      </c>
    </row>
    <row r="199" spans="3:4" x14ac:dyDescent="0.25">
      <c r="C199" t="s">
        <v>1371</v>
      </c>
      <c r="D199" t="s">
        <v>1372</v>
      </c>
    </row>
    <row r="200" spans="3:4" x14ac:dyDescent="0.25">
      <c r="C200" t="s">
        <v>1374</v>
      </c>
      <c r="D200" t="s">
        <v>1375</v>
      </c>
    </row>
    <row r="201" spans="3:4" x14ac:dyDescent="0.25">
      <c r="C201" t="s">
        <v>1377</v>
      </c>
      <c r="D201" t="s">
        <v>1378</v>
      </c>
    </row>
    <row r="202" spans="3:4" x14ac:dyDescent="0.25">
      <c r="C202" t="s">
        <v>1380</v>
      </c>
      <c r="D202" t="s">
        <v>1381</v>
      </c>
    </row>
    <row r="203" spans="3:4" x14ac:dyDescent="0.25">
      <c r="C203" t="s">
        <v>1390</v>
      </c>
      <c r="D203" t="s">
        <v>1389</v>
      </c>
    </row>
    <row r="204" spans="3:4" x14ac:dyDescent="0.25">
      <c r="C204" t="s">
        <v>1397</v>
      </c>
      <c r="D204" t="s">
        <v>1398</v>
      </c>
    </row>
    <row r="205" spans="3:4" x14ac:dyDescent="0.25">
      <c r="C205" t="s">
        <v>1403</v>
      </c>
      <c r="D205" t="s">
        <v>1404</v>
      </c>
    </row>
    <row r="206" spans="3:4" x14ac:dyDescent="0.25">
      <c r="C206" t="s">
        <v>1406</v>
      </c>
      <c r="D206" t="s">
        <v>1407</v>
      </c>
    </row>
    <row r="207" spans="3:4" x14ac:dyDescent="0.25">
      <c r="C207" t="s">
        <v>1409</v>
      </c>
      <c r="D207" t="s">
        <v>1410</v>
      </c>
    </row>
    <row r="208" spans="3:4" x14ac:dyDescent="0.25">
      <c r="C208" t="s">
        <v>1412</v>
      </c>
      <c r="D208" t="s">
        <v>1413</v>
      </c>
    </row>
    <row r="209" spans="3:4" x14ac:dyDescent="0.25">
      <c r="C209" t="s">
        <v>1415</v>
      </c>
      <c r="D209" t="s">
        <v>1416</v>
      </c>
    </row>
    <row r="210" spans="3:4" x14ac:dyDescent="0.25">
      <c r="C210" t="s">
        <v>1420</v>
      </c>
      <c r="D210" t="s">
        <v>1421</v>
      </c>
    </row>
    <row r="211" spans="3:4" x14ac:dyDescent="0.25">
      <c r="C211" t="s">
        <v>1434</v>
      </c>
      <c r="D211" t="s">
        <v>1435</v>
      </c>
    </row>
    <row r="212" spans="3:4" x14ac:dyDescent="0.25">
      <c r="C212" t="s">
        <v>1440</v>
      </c>
      <c r="D212" t="s">
        <v>1441</v>
      </c>
    </row>
    <row r="213" spans="3:4" x14ac:dyDescent="0.25">
      <c r="C213" t="s">
        <v>1448</v>
      </c>
      <c r="D213" t="s">
        <v>1449</v>
      </c>
    </row>
    <row r="214" spans="3:4" x14ac:dyDescent="0.25">
      <c r="C214" t="s">
        <v>1451</v>
      </c>
      <c r="D214" t="s">
        <v>1452</v>
      </c>
    </row>
    <row r="215" spans="3:4" x14ac:dyDescent="0.25">
      <c r="C215" t="s">
        <v>1454</v>
      </c>
      <c r="D215" t="s">
        <v>1455</v>
      </c>
    </row>
    <row r="216" spans="3:4" x14ac:dyDescent="0.25">
      <c r="C216" t="s">
        <v>1461</v>
      </c>
      <c r="D216" t="s">
        <v>1460</v>
      </c>
    </row>
    <row r="217" spans="3:4" x14ac:dyDescent="0.25">
      <c r="C217" t="s">
        <v>1465</v>
      </c>
      <c r="D217" t="s">
        <v>1464</v>
      </c>
    </row>
    <row r="218" spans="3:4" x14ac:dyDescent="0.25">
      <c r="C218" t="s">
        <v>1469</v>
      </c>
      <c r="D218" t="s">
        <v>1470</v>
      </c>
    </row>
    <row r="219" spans="3:4" x14ac:dyDescent="0.25">
      <c r="C219" t="s">
        <v>1475</v>
      </c>
      <c r="D219" t="s">
        <v>1476</v>
      </c>
    </row>
    <row r="220" spans="3:4" x14ac:dyDescent="0.25">
      <c r="C220" t="s">
        <v>1481</v>
      </c>
      <c r="D220" t="s">
        <v>1482</v>
      </c>
    </row>
    <row r="221" spans="3:4" x14ac:dyDescent="0.25">
      <c r="C221" t="s">
        <v>1486</v>
      </c>
      <c r="D221" t="s">
        <v>1485</v>
      </c>
    </row>
    <row r="222" spans="3:4" x14ac:dyDescent="0.25">
      <c r="C222" t="s">
        <v>1492</v>
      </c>
      <c r="D222" t="s">
        <v>1491</v>
      </c>
    </row>
    <row r="223" spans="3:4" x14ac:dyDescent="0.25">
      <c r="C223" t="s">
        <v>1496</v>
      </c>
      <c r="D223" t="s">
        <v>1497</v>
      </c>
    </row>
    <row r="224" spans="3:4" x14ac:dyDescent="0.25">
      <c r="C224" t="s">
        <v>1499</v>
      </c>
      <c r="D224" t="s">
        <v>1500</v>
      </c>
    </row>
    <row r="225" spans="3:4" x14ac:dyDescent="0.25">
      <c r="C225" t="s">
        <v>1502</v>
      </c>
      <c r="D225" t="s">
        <v>1503</v>
      </c>
    </row>
    <row r="226" spans="3:4" x14ac:dyDescent="0.25">
      <c r="C226" t="s">
        <v>1507</v>
      </c>
      <c r="D226" t="s">
        <v>1508</v>
      </c>
    </row>
    <row r="227" spans="3:4" x14ac:dyDescent="0.25">
      <c r="C227" t="s">
        <v>1513</v>
      </c>
      <c r="D227" t="s">
        <v>1514</v>
      </c>
    </row>
    <row r="228" spans="3:4" x14ac:dyDescent="0.25">
      <c r="C228" t="s">
        <v>1521</v>
      </c>
      <c r="D228" t="s">
        <v>1522</v>
      </c>
    </row>
    <row r="229" spans="3:4" x14ac:dyDescent="0.25">
      <c r="C229" t="s">
        <v>1524</v>
      </c>
      <c r="D229" t="s">
        <v>1525</v>
      </c>
    </row>
    <row r="230" spans="3:4" x14ac:dyDescent="0.25">
      <c r="C230" t="s">
        <v>1527</v>
      </c>
      <c r="D230" t="s">
        <v>1528</v>
      </c>
    </row>
    <row r="231" spans="3:4" x14ac:dyDescent="0.25">
      <c r="C231" t="s">
        <v>1534</v>
      </c>
      <c r="D231" t="s">
        <v>1535</v>
      </c>
    </row>
    <row r="232" spans="3:4" x14ac:dyDescent="0.25">
      <c r="C232" t="s">
        <v>1537</v>
      </c>
      <c r="D232" t="s">
        <v>1538</v>
      </c>
    </row>
    <row r="233" spans="3:4" x14ac:dyDescent="0.25">
      <c r="C233" t="s">
        <v>1540</v>
      </c>
      <c r="D233" t="s">
        <v>1541</v>
      </c>
    </row>
    <row r="234" spans="3:4" x14ac:dyDescent="0.25">
      <c r="C234" t="s">
        <v>1543</v>
      </c>
      <c r="D234" t="s">
        <v>1544</v>
      </c>
    </row>
    <row r="235" spans="3:4" x14ac:dyDescent="0.25">
      <c r="C235" t="s">
        <v>1551</v>
      </c>
      <c r="D235" t="s">
        <v>1552</v>
      </c>
    </row>
    <row r="236" spans="3:4" x14ac:dyDescent="0.25">
      <c r="C236" t="s">
        <v>1561</v>
      </c>
      <c r="D236" t="s">
        <v>1562</v>
      </c>
    </row>
    <row r="237" spans="3:4" x14ac:dyDescent="0.25">
      <c r="C237" t="s">
        <v>1569</v>
      </c>
      <c r="D237" t="s">
        <v>1570</v>
      </c>
    </row>
    <row r="238" spans="3:4" x14ac:dyDescent="0.25">
      <c r="C238" t="s">
        <v>1579</v>
      </c>
      <c r="D238" t="s">
        <v>1580</v>
      </c>
    </row>
    <row r="239" spans="3:4" x14ac:dyDescent="0.25">
      <c r="C239" t="s">
        <v>1584</v>
      </c>
      <c r="D239" t="s">
        <v>1585</v>
      </c>
    </row>
    <row r="240" spans="3:4" x14ac:dyDescent="0.25">
      <c r="C240" t="s">
        <v>1590</v>
      </c>
      <c r="D240" t="s">
        <v>1591</v>
      </c>
    </row>
    <row r="241" spans="3:4" x14ac:dyDescent="0.25">
      <c r="C241" t="s">
        <v>1598</v>
      </c>
      <c r="D241" t="s">
        <v>1599</v>
      </c>
    </row>
    <row r="242" spans="3:4" x14ac:dyDescent="0.25">
      <c r="C242" t="s">
        <v>1601</v>
      </c>
      <c r="D242" t="s">
        <v>1602</v>
      </c>
    </row>
    <row r="243" spans="3:4" x14ac:dyDescent="0.25">
      <c r="C243" t="s">
        <v>1604</v>
      </c>
      <c r="D243" t="s">
        <v>1605</v>
      </c>
    </row>
    <row r="244" spans="3:4" x14ac:dyDescent="0.25">
      <c r="C244" t="s">
        <v>1614</v>
      </c>
      <c r="D244" t="s">
        <v>1615</v>
      </c>
    </row>
    <row r="245" spans="3:4" x14ac:dyDescent="0.25">
      <c r="C245" t="s">
        <v>1624</v>
      </c>
      <c r="D245" t="s">
        <v>1625</v>
      </c>
    </row>
    <row r="246" spans="3:4" x14ac:dyDescent="0.25">
      <c r="C246" t="s">
        <v>1634</v>
      </c>
      <c r="D246" t="s">
        <v>1635</v>
      </c>
    </row>
    <row r="247" spans="3:4" x14ac:dyDescent="0.25">
      <c r="C247" t="s">
        <v>1642</v>
      </c>
      <c r="D247" t="s">
        <v>1643</v>
      </c>
    </row>
    <row r="248" spans="3:4" x14ac:dyDescent="0.25">
      <c r="C248" t="s">
        <v>1649</v>
      </c>
      <c r="D248" t="s">
        <v>1650</v>
      </c>
    </row>
    <row r="249" spans="3:4" x14ac:dyDescent="0.25">
      <c r="C249" t="s">
        <v>1655</v>
      </c>
      <c r="D249" t="s">
        <v>1656</v>
      </c>
    </row>
    <row r="250" spans="3:4" x14ac:dyDescent="0.25">
      <c r="C250" t="s">
        <v>1663</v>
      </c>
      <c r="D250" t="s">
        <v>1664</v>
      </c>
    </row>
    <row r="251" spans="3:4" x14ac:dyDescent="0.25">
      <c r="C251" t="s">
        <v>1668</v>
      </c>
      <c r="D251" t="s">
        <v>1669</v>
      </c>
    </row>
    <row r="252" spans="3:4" x14ac:dyDescent="0.25">
      <c r="C252" t="s">
        <v>1674</v>
      </c>
      <c r="D252" t="s">
        <v>1675</v>
      </c>
    </row>
    <row r="253" spans="3:4" x14ac:dyDescent="0.25">
      <c r="C253" t="s">
        <v>1682</v>
      </c>
      <c r="D253" t="s">
        <v>1683</v>
      </c>
    </row>
    <row r="254" spans="3:4" x14ac:dyDescent="0.25">
      <c r="C254" t="s">
        <v>1685</v>
      </c>
      <c r="D254" t="s">
        <v>1686</v>
      </c>
    </row>
    <row r="255" spans="3:4" x14ac:dyDescent="0.25">
      <c r="C255" t="s">
        <v>1690</v>
      </c>
      <c r="D255" t="s">
        <v>1691</v>
      </c>
    </row>
    <row r="256" spans="3:4" x14ac:dyDescent="0.25">
      <c r="C256" t="s">
        <v>1693</v>
      </c>
      <c r="D256" t="s">
        <v>1694</v>
      </c>
    </row>
    <row r="257" spans="3:4" x14ac:dyDescent="0.25">
      <c r="C257" t="s">
        <v>1705</v>
      </c>
      <c r="D257" t="s">
        <v>1706</v>
      </c>
    </row>
    <row r="258" spans="3:4" x14ac:dyDescent="0.25">
      <c r="C258" t="s">
        <v>1713</v>
      </c>
      <c r="D258" t="s">
        <v>1714</v>
      </c>
    </row>
    <row r="259" spans="3:4" x14ac:dyDescent="0.25">
      <c r="C259" t="s">
        <v>1716</v>
      </c>
      <c r="D259" t="s">
        <v>1717</v>
      </c>
    </row>
    <row r="260" spans="3:4" x14ac:dyDescent="0.25">
      <c r="C260" t="s">
        <v>1719</v>
      </c>
      <c r="D260" t="s">
        <v>1720</v>
      </c>
    </row>
    <row r="261" spans="3:4" x14ac:dyDescent="0.25">
      <c r="C261" t="s">
        <v>1726</v>
      </c>
      <c r="D261" t="s">
        <v>1727</v>
      </c>
    </row>
    <row r="262" spans="3:4" x14ac:dyDescent="0.25">
      <c r="C262" t="s">
        <v>1729</v>
      </c>
      <c r="D262" t="s">
        <v>1730</v>
      </c>
    </row>
    <row r="263" spans="3:4" x14ac:dyDescent="0.25">
      <c r="C263" t="s">
        <v>1732</v>
      </c>
      <c r="D263" t="s">
        <v>1733</v>
      </c>
    </row>
    <row r="264" spans="3:4" x14ac:dyDescent="0.25">
      <c r="C264" t="s">
        <v>1735</v>
      </c>
      <c r="D264" t="s">
        <v>1736</v>
      </c>
    </row>
    <row r="265" spans="3:4" x14ac:dyDescent="0.25">
      <c r="C265" t="s">
        <v>1738</v>
      </c>
      <c r="D265" t="s">
        <v>1739</v>
      </c>
    </row>
    <row r="266" spans="3:4" x14ac:dyDescent="0.25">
      <c r="C266" t="s">
        <v>1743</v>
      </c>
      <c r="D266" t="s">
        <v>1744</v>
      </c>
    </row>
    <row r="267" spans="3:4" x14ac:dyDescent="0.25">
      <c r="C267" t="s">
        <v>1746</v>
      </c>
      <c r="D267" t="s">
        <v>1747</v>
      </c>
    </row>
    <row r="268" spans="3:4" x14ac:dyDescent="0.25">
      <c r="C268" t="s">
        <v>1752</v>
      </c>
      <c r="D268" t="s">
        <v>1753</v>
      </c>
    </row>
    <row r="269" spans="3:4" x14ac:dyDescent="0.25">
      <c r="C269" t="s">
        <v>1755</v>
      </c>
      <c r="D269" t="s">
        <v>1756</v>
      </c>
    </row>
    <row r="270" spans="3:4" x14ac:dyDescent="0.25">
      <c r="C270" t="s">
        <v>1762</v>
      </c>
      <c r="D270" t="s">
        <v>1763</v>
      </c>
    </row>
    <row r="271" spans="3:4" x14ac:dyDescent="0.25">
      <c r="C271" t="s">
        <v>1772</v>
      </c>
      <c r="D271" t="s">
        <v>1773</v>
      </c>
    </row>
    <row r="272" spans="3:4" x14ac:dyDescent="0.25">
      <c r="C272" t="s">
        <v>1780</v>
      </c>
      <c r="D272" t="s">
        <v>1781</v>
      </c>
    </row>
    <row r="273" spans="3:4" x14ac:dyDescent="0.25">
      <c r="C273" t="s">
        <v>1790</v>
      </c>
      <c r="D273" t="s">
        <v>1791</v>
      </c>
    </row>
    <row r="274" spans="3:4" x14ac:dyDescent="0.25">
      <c r="C274" t="s">
        <v>1795</v>
      </c>
      <c r="D274" t="s">
        <v>1796</v>
      </c>
    </row>
    <row r="275" spans="3:4" x14ac:dyDescent="0.25">
      <c r="C275" t="s">
        <v>1798</v>
      </c>
      <c r="D275" t="s">
        <v>1799</v>
      </c>
    </row>
    <row r="276" spans="3:4" x14ac:dyDescent="0.25">
      <c r="C276" t="s">
        <v>1801</v>
      </c>
      <c r="D276" t="s">
        <v>1802</v>
      </c>
    </row>
    <row r="277" spans="3:4" x14ac:dyDescent="0.25">
      <c r="C277" t="s">
        <v>1811</v>
      </c>
      <c r="D277" t="s">
        <v>1812</v>
      </c>
    </row>
    <row r="278" spans="3:4" x14ac:dyDescent="0.25">
      <c r="C278" t="s">
        <v>1814</v>
      </c>
      <c r="D278" t="s">
        <v>1815</v>
      </c>
    </row>
    <row r="279" spans="3:4" x14ac:dyDescent="0.25">
      <c r="C279" t="s">
        <v>1817</v>
      </c>
      <c r="D279" t="s">
        <v>1818</v>
      </c>
    </row>
    <row r="280" spans="3:4" x14ac:dyDescent="0.25">
      <c r="C280" t="s">
        <v>1822</v>
      </c>
      <c r="D280" t="s">
        <v>1823</v>
      </c>
    </row>
    <row r="281" spans="3:4" x14ac:dyDescent="0.25">
      <c r="C281" t="s">
        <v>1828</v>
      </c>
      <c r="D281" t="s">
        <v>1829</v>
      </c>
    </row>
    <row r="282" spans="3:4" x14ac:dyDescent="0.25">
      <c r="C282" t="s">
        <v>1831</v>
      </c>
      <c r="D282" t="s">
        <v>1832</v>
      </c>
    </row>
    <row r="283" spans="3:4" x14ac:dyDescent="0.25">
      <c r="C283" t="s">
        <v>1836</v>
      </c>
      <c r="D283" t="s">
        <v>1837</v>
      </c>
    </row>
    <row r="284" spans="3:4" x14ac:dyDescent="0.25">
      <c r="C284" t="s">
        <v>1839</v>
      </c>
      <c r="D284" t="s">
        <v>1840</v>
      </c>
    </row>
    <row r="285" spans="3:4" x14ac:dyDescent="0.25">
      <c r="C285" t="s">
        <v>1846</v>
      </c>
      <c r="D285" t="s">
        <v>1847</v>
      </c>
    </row>
    <row r="286" spans="3:4" x14ac:dyDescent="0.25">
      <c r="C286" t="s">
        <v>1852</v>
      </c>
      <c r="D286" t="s">
        <v>1853</v>
      </c>
    </row>
    <row r="287" spans="3:4" x14ac:dyDescent="0.25">
      <c r="C287" t="s">
        <v>1858</v>
      </c>
      <c r="D287" t="s">
        <v>1859</v>
      </c>
    </row>
    <row r="288" spans="3:4" x14ac:dyDescent="0.25">
      <c r="C288" t="s">
        <v>1866</v>
      </c>
      <c r="D288" t="s">
        <v>1867</v>
      </c>
    </row>
    <row r="289" spans="3:4" x14ac:dyDescent="0.25">
      <c r="C289" t="s">
        <v>1882</v>
      </c>
      <c r="D289" t="s">
        <v>1883</v>
      </c>
    </row>
    <row r="290" spans="3:4" x14ac:dyDescent="0.25">
      <c r="C290" t="s">
        <v>1888</v>
      </c>
      <c r="D290" t="s">
        <v>1889</v>
      </c>
    </row>
    <row r="291" spans="3:4" x14ac:dyDescent="0.25">
      <c r="C291" t="s">
        <v>1891</v>
      </c>
      <c r="D291" t="s">
        <v>1892</v>
      </c>
    </row>
    <row r="292" spans="3:4" x14ac:dyDescent="0.25">
      <c r="C292" t="s">
        <v>1896</v>
      </c>
      <c r="D292" t="s">
        <v>1897</v>
      </c>
    </row>
    <row r="293" spans="3:4" x14ac:dyDescent="0.25">
      <c r="C293" t="s">
        <v>1904</v>
      </c>
      <c r="D293" t="s">
        <v>1905</v>
      </c>
    </row>
    <row r="294" spans="3:4" x14ac:dyDescent="0.25">
      <c r="C294" t="s">
        <v>1912</v>
      </c>
      <c r="D294" t="s">
        <v>1913</v>
      </c>
    </row>
    <row r="295" spans="3:4" x14ac:dyDescent="0.25">
      <c r="C295" t="s">
        <v>1918</v>
      </c>
      <c r="D295" t="s">
        <v>1919</v>
      </c>
    </row>
    <row r="296" spans="3:4" x14ac:dyDescent="0.25">
      <c r="C296" t="s">
        <v>1921</v>
      </c>
      <c r="D296" t="s">
        <v>1922</v>
      </c>
    </row>
    <row r="297" spans="3:4" x14ac:dyDescent="0.25">
      <c r="C297" t="s">
        <v>1931</v>
      </c>
      <c r="D297" t="s">
        <v>1932</v>
      </c>
    </row>
    <row r="298" spans="3:4" x14ac:dyDescent="0.25">
      <c r="C298" t="s">
        <v>1934</v>
      </c>
      <c r="D298" t="s">
        <v>1935</v>
      </c>
    </row>
    <row r="299" spans="3:4" x14ac:dyDescent="0.25">
      <c r="C299" t="s">
        <v>1939</v>
      </c>
      <c r="D299" t="s">
        <v>1940</v>
      </c>
    </row>
    <row r="300" spans="3:4" x14ac:dyDescent="0.25">
      <c r="C300" t="s">
        <v>1942</v>
      </c>
      <c r="D300" t="s">
        <v>1943</v>
      </c>
    </row>
    <row r="301" spans="3:4" x14ac:dyDescent="0.25">
      <c r="C301" t="s">
        <v>1947</v>
      </c>
      <c r="D301" t="s">
        <v>1948</v>
      </c>
    </row>
    <row r="302" spans="3:4" x14ac:dyDescent="0.25">
      <c r="C302" t="s">
        <v>1950</v>
      </c>
      <c r="D302" t="s">
        <v>1951</v>
      </c>
    </row>
    <row r="303" spans="3:4" x14ac:dyDescent="0.25">
      <c r="C303" t="s">
        <v>1955</v>
      </c>
      <c r="D303" t="s">
        <v>1956</v>
      </c>
    </row>
    <row r="304" spans="3:4" x14ac:dyDescent="0.25">
      <c r="C304" t="s">
        <v>1958</v>
      </c>
      <c r="D304" t="s">
        <v>1959</v>
      </c>
    </row>
    <row r="305" spans="3:4" x14ac:dyDescent="0.25">
      <c r="C305" t="s">
        <v>1963</v>
      </c>
      <c r="D305" t="s">
        <v>1964</v>
      </c>
    </row>
    <row r="306" spans="3:4" x14ac:dyDescent="0.25">
      <c r="C306" t="s">
        <v>1966</v>
      </c>
      <c r="D306" t="s">
        <v>1967</v>
      </c>
    </row>
    <row r="307" spans="3:4" x14ac:dyDescent="0.25">
      <c r="C307" t="s">
        <v>1969</v>
      </c>
      <c r="D307" t="s">
        <v>1970</v>
      </c>
    </row>
    <row r="308" spans="3:4" x14ac:dyDescent="0.25">
      <c r="C308" t="s">
        <v>1974</v>
      </c>
      <c r="D308" t="s">
        <v>1975</v>
      </c>
    </row>
    <row r="309" spans="3:4" x14ac:dyDescent="0.25">
      <c r="C309" t="s">
        <v>1977</v>
      </c>
      <c r="D309" t="s">
        <v>1978</v>
      </c>
    </row>
    <row r="310" spans="3:4" x14ac:dyDescent="0.25">
      <c r="C310" t="s">
        <v>1980</v>
      </c>
      <c r="D310" t="s">
        <v>1981</v>
      </c>
    </row>
    <row r="311" spans="3:4" x14ac:dyDescent="0.25">
      <c r="C311" t="s">
        <v>1983</v>
      </c>
      <c r="D311" t="s">
        <v>1984</v>
      </c>
    </row>
    <row r="312" spans="3:4" x14ac:dyDescent="0.25">
      <c r="C312" t="s">
        <v>1991</v>
      </c>
      <c r="D312" t="s">
        <v>1990</v>
      </c>
    </row>
    <row r="313" spans="3:4" x14ac:dyDescent="0.25">
      <c r="C313" t="s">
        <v>1997</v>
      </c>
      <c r="D313" t="s">
        <v>1998</v>
      </c>
    </row>
    <row r="314" spans="3:4" x14ac:dyDescent="0.25">
      <c r="C314" t="s">
        <v>2000</v>
      </c>
      <c r="D314" t="s">
        <v>2001</v>
      </c>
    </row>
    <row r="315" spans="3:4" x14ac:dyDescent="0.25">
      <c r="C315" t="s">
        <v>2006</v>
      </c>
      <c r="D315" t="s">
        <v>2007</v>
      </c>
    </row>
    <row r="316" spans="3:4" x14ac:dyDescent="0.25">
      <c r="C316" t="s">
        <v>2009</v>
      </c>
      <c r="D316" t="s">
        <v>2010</v>
      </c>
    </row>
    <row r="317" spans="3:4" x14ac:dyDescent="0.25">
      <c r="C317" t="s">
        <v>2012</v>
      </c>
      <c r="D317" t="s">
        <v>2013</v>
      </c>
    </row>
    <row r="318" spans="3:4" x14ac:dyDescent="0.25">
      <c r="C318" t="s">
        <v>2020</v>
      </c>
      <c r="D318" t="s">
        <v>2021</v>
      </c>
    </row>
    <row r="319" spans="3:4" x14ac:dyDescent="0.25">
      <c r="C319" t="s">
        <v>2023</v>
      </c>
      <c r="D319" t="s">
        <v>2024</v>
      </c>
    </row>
    <row r="320" spans="3:4" x14ac:dyDescent="0.25">
      <c r="C320" t="s">
        <v>2028</v>
      </c>
      <c r="D320" t="s">
        <v>2029</v>
      </c>
    </row>
    <row r="321" spans="3:4" x14ac:dyDescent="0.25">
      <c r="C321" t="s">
        <v>2034</v>
      </c>
      <c r="D321" t="s">
        <v>2035</v>
      </c>
    </row>
    <row r="322" spans="3:4" x14ac:dyDescent="0.25">
      <c r="C322" t="s">
        <v>2039</v>
      </c>
      <c r="D322" t="s">
        <v>2038</v>
      </c>
    </row>
    <row r="323" spans="3:4" x14ac:dyDescent="0.25">
      <c r="C323" t="s">
        <v>2046</v>
      </c>
      <c r="D323" t="s">
        <v>2047</v>
      </c>
    </row>
    <row r="324" spans="3:4" x14ac:dyDescent="0.25">
      <c r="C324" t="s">
        <v>2049</v>
      </c>
      <c r="D324" t="s">
        <v>2050</v>
      </c>
    </row>
    <row r="325" spans="3:4" x14ac:dyDescent="0.25">
      <c r="C325" t="s">
        <v>2055</v>
      </c>
      <c r="D325" t="s">
        <v>2056</v>
      </c>
    </row>
    <row r="326" spans="3:4" x14ac:dyDescent="0.25">
      <c r="C326" t="s">
        <v>2060</v>
      </c>
      <c r="D326" t="s">
        <v>2061</v>
      </c>
    </row>
    <row r="327" spans="3:4" x14ac:dyDescent="0.25">
      <c r="C327" t="s">
        <v>2063</v>
      </c>
      <c r="D327" t="s">
        <v>2064</v>
      </c>
    </row>
    <row r="328" spans="3:4" x14ac:dyDescent="0.25">
      <c r="C328" t="s">
        <v>2066</v>
      </c>
      <c r="D328" t="s">
        <v>2067</v>
      </c>
    </row>
    <row r="329" spans="3:4" x14ac:dyDescent="0.25">
      <c r="C329" t="s">
        <v>2069</v>
      </c>
      <c r="D329" t="s">
        <v>2070</v>
      </c>
    </row>
    <row r="330" spans="3:4" x14ac:dyDescent="0.25">
      <c r="C330" t="s">
        <v>2072</v>
      </c>
      <c r="D330" t="s">
        <v>2073</v>
      </c>
    </row>
    <row r="331" spans="3:4" x14ac:dyDescent="0.25">
      <c r="C331" t="s">
        <v>2083</v>
      </c>
      <c r="D331" t="s">
        <v>2084</v>
      </c>
    </row>
    <row r="332" spans="3:4" x14ac:dyDescent="0.25">
      <c r="C332" t="s">
        <v>2093</v>
      </c>
      <c r="D332" t="s">
        <v>2094</v>
      </c>
    </row>
    <row r="333" spans="3:4" x14ac:dyDescent="0.25">
      <c r="C333" t="s">
        <v>2101</v>
      </c>
      <c r="D333" t="s">
        <v>2102</v>
      </c>
    </row>
    <row r="334" spans="3:4" x14ac:dyDescent="0.25">
      <c r="C334" t="s">
        <v>2107</v>
      </c>
      <c r="D334" t="s">
        <v>2108</v>
      </c>
    </row>
    <row r="335" spans="3:4" x14ac:dyDescent="0.25">
      <c r="C335" t="s">
        <v>2110</v>
      </c>
      <c r="D335" t="s">
        <v>2111</v>
      </c>
    </row>
    <row r="336" spans="3:4" x14ac:dyDescent="0.25">
      <c r="C336" t="s">
        <v>2113</v>
      </c>
      <c r="D336" t="s">
        <v>2114</v>
      </c>
    </row>
    <row r="337" spans="3:4" x14ac:dyDescent="0.25">
      <c r="C337" t="s">
        <v>2121</v>
      </c>
      <c r="D337" t="s">
        <v>2122</v>
      </c>
    </row>
    <row r="338" spans="3:4" x14ac:dyDescent="0.25">
      <c r="C338" t="s">
        <v>2124</v>
      </c>
      <c r="D338" t="s">
        <v>2125</v>
      </c>
    </row>
    <row r="339" spans="3:4" x14ac:dyDescent="0.25">
      <c r="C339" t="s">
        <v>2134</v>
      </c>
      <c r="D339" t="s">
        <v>2135</v>
      </c>
    </row>
    <row r="340" spans="3:4" x14ac:dyDescent="0.25">
      <c r="C340" t="s">
        <v>2144</v>
      </c>
      <c r="D340" t="s">
        <v>2145</v>
      </c>
    </row>
    <row r="341" spans="3:4" x14ac:dyDescent="0.25">
      <c r="C341" t="s">
        <v>2147</v>
      </c>
      <c r="D341" t="s">
        <v>2148</v>
      </c>
    </row>
    <row r="342" spans="3:4" x14ac:dyDescent="0.25">
      <c r="C342" t="s">
        <v>2150</v>
      </c>
      <c r="D342" t="s">
        <v>2151</v>
      </c>
    </row>
    <row r="343" spans="3:4" x14ac:dyDescent="0.25">
      <c r="C343" t="s">
        <v>2158</v>
      </c>
      <c r="D343" t="s">
        <v>2159</v>
      </c>
    </row>
    <row r="344" spans="3:4" x14ac:dyDescent="0.25">
      <c r="C344" t="s">
        <v>2161</v>
      </c>
      <c r="D344" t="s">
        <v>2162</v>
      </c>
    </row>
    <row r="345" spans="3:4" x14ac:dyDescent="0.25">
      <c r="C345" t="s">
        <v>2164</v>
      </c>
      <c r="D345" t="s">
        <v>2165</v>
      </c>
    </row>
    <row r="346" spans="3:4" x14ac:dyDescent="0.25">
      <c r="C346" t="s">
        <v>2167</v>
      </c>
      <c r="D346" t="s">
        <v>2168</v>
      </c>
    </row>
    <row r="347" spans="3:4" x14ac:dyDescent="0.25">
      <c r="C347" t="s">
        <v>2175</v>
      </c>
      <c r="D347" t="s">
        <v>2176</v>
      </c>
    </row>
    <row r="348" spans="3:4" x14ac:dyDescent="0.25">
      <c r="C348" t="s">
        <v>2178</v>
      </c>
      <c r="D348" t="s">
        <v>2179</v>
      </c>
    </row>
    <row r="349" spans="3:4" x14ac:dyDescent="0.25">
      <c r="C349" t="s">
        <v>2185</v>
      </c>
      <c r="D349" t="s">
        <v>2186</v>
      </c>
    </row>
    <row r="350" spans="3:4" x14ac:dyDescent="0.25">
      <c r="C350" t="s">
        <v>2193</v>
      </c>
      <c r="D350" t="s">
        <v>2194</v>
      </c>
    </row>
    <row r="351" spans="3:4" x14ac:dyDescent="0.25">
      <c r="C351" t="s">
        <v>2196</v>
      </c>
      <c r="D351" t="s">
        <v>2197</v>
      </c>
    </row>
    <row r="352" spans="3:4" x14ac:dyDescent="0.25">
      <c r="C352" t="s">
        <v>2204</v>
      </c>
      <c r="D352" t="s">
        <v>2205</v>
      </c>
    </row>
    <row r="353" spans="3:4" x14ac:dyDescent="0.25">
      <c r="C353" t="s">
        <v>2210</v>
      </c>
      <c r="D353" t="s">
        <v>2211</v>
      </c>
    </row>
    <row r="354" spans="3:4" x14ac:dyDescent="0.25">
      <c r="C354" t="s">
        <v>2216</v>
      </c>
      <c r="D354" t="s">
        <v>2217</v>
      </c>
    </row>
    <row r="355" spans="3:4" x14ac:dyDescent="0.25">
      <c r="C355" t="s">
        <v>2219</v>
      </c>
      <c r="D355" t="s">
        <v>2220</v>
      </c>
    </row>
    <row r="356" spans="3:4" x14ac:dyDescent="0.25">
      <c r="C356" t="s">
        <v>2227</v>
      </c>
      <c r="D356" t="s">
        <v>2226</v>
      </c>
    </row>
    <row r="357" spans="3:4" x14ac:dyDescent="0.25">
      <c r="C357" t="s">
        <v>2231</v>
      </c>
      <c r="D357" t="s">
        <v>2232</v>
      </c>
    </row>
    <row r="358" spans="3:4" x14ac:dyDescent="0.25">
      <c r="C358" t="s">
        <v>2239</v>
      </c>
      <c r="D358" t="s">
        <v>2240</v>
      </c>
    </row>
    <row r="359" spans="3:4" x14ac:dyDescent="0.25">
      <c r="C359" t="s">
        <v>2249</v>
      </c>
      <c r="D359" t="s">
        <v>2250</v>
      </c>
    </row>
    <row r="360" spans="3:4" x14ac:dyDescent="0.25">
      <c r="C360" t="s">
        <v>2255</v>
      </c>
      <c r="D360" t="s">
        <v>2256</v>
      </c>
    </row>
    <row r="361" spans="3:4" x14ac:dyDescent="0.25">
      <c r="C361" t="s">
        <v>2258</v>
      </c>
      <c r="D361" t="s">
        <v>2259</v>
      </c>
    </row>
    <row r="362" spans="3:4" x14ac:dyDescent="0.25">
      <c r="C362" t="s">
        <v>2268</v>
      </c>
      <c r="D362" t="s">
        <v>2269</v>
      </c>
    </row>
    <row r="363" spans="3:4" x14ac:dyDescent="0.25">
      <c r="C363" t="s">
        <v>2271</v>
      </c>
      <c r="D363" t="s">
        <v>2272</v>
      </c>
    </row>
    <row r="364" spans="3:4" x14ac:dyDescent="0.25">
      <c r="C364" t="s">
        <v>2283</v>
      </c>
      <c r="D364" t="s">
        <v>2284</v>
      </c>
    </row>
    <row r="365" spans="3:4" x14ac:dyDescent="0.25">
      <c r="C365" t="s">
        <v>2289</v>
      </c>
      <c r="D365" t="s">
        <v>2290</v>
      </c>
    </row>
    <row r="366" spans="3:4" x14ac:dyDescent="0.25">
      <c r="C366" t="s">
        <v>2294</v>
      </c>
      <c r="D366" t="s">
        <v>2295</v>
      </c>
    </row>
    <row r="367" spans="3:4" x14ac:dyDescent="0.25">
      <c r="C367" t="s">
        <v>2297</v>
      </c>
      <c r="D367" t="s">
        <v>2298</v>
      </c>
    </row>
    <row r="368" spans="3:4" x14ac:dyDescent="0.25">
      <c r="C368" t="s">
        <v>2305</v>
      </c>
      <c r="D368" t="s">
        <v>2306</v>
      </c>
    </row>
    <row r="369" spans="3:4" x14ac:dyDescent="0.25">
      <c r="C369" t="s">
        <v>2308</v>
      </c>
      <c r="D369" t="s">
        <v>2309</v>
      </c>
    </row>
    <row r="370" spans="3:4" x14ac:dyDescent="0.25">
      <c r="C370" t="s">
        <v>2311</v>
      </c>
      <c r="D370" t="s">
        <v>2312</v>
      </c>
    </row>
    <row r="371" spans="3:4" x14ac:dyDescent="0.25">
      <c r="C371" t="s">
        <v>2318</v>
      </c>
      <c r="D371" t="s">
        <v>2317</v>
      </c>
    </row>
    <row r="372" spans="3:4" x14ac:dyDescent="0.25">
      <c r="C372" t="s">
        <v>2322</v>
      </c>
      <c r="D372" t="s">
        <v>2323</v>
      </c>
    </row>
    <row r="373" spans="3:4" x14ac:dyDescent="0.25">
      <c r="C373" t="s">
        <v>2325</v>
      </c>
      <c r="D373" t="s">
        <v>2326</v>
      </c>
    </row>
    <row r="374" spans="3:4" x14ac:dyDescent="0.25">
      <c r="C374" t="s">
        <v>2331</v>
      </c>
      <c r="D374" t="s">
        <v>2329</v>
      </c>
    </row>
  </sheetData>
  <autoFilter ref="A1:D374" xr:uid="{82461CD0-1DA5-4A71-ACAA-0FB43FA2DB3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2D9-83E3-4D4C-86A0-B637B5FBD232}">
  <dimension ref="A1:B374"/>
  <sheetViews>
    <sheetView workbookViewId="0">
      <selection activeCell="B1" sqref="A1:B1"/>
    </sheetView>
  </sheetViews>
  <sheetFormatPr defaultRowHeight="15" x14ac:dyDescent="0.25"/>
  <cols>
    <col min="1" max="1" width="17.85546875" customWidth="1"/>
    <col min="2" max="2" width="130.7109375" customWidth="1"/>
  </cols>
  <sheetData>
    <row r="1" spans="1:2" x14ac:dyDescent="0.25">
      <c r="A1" s="3" t="s">
        <v>2348</v>
      </c>
      <c r="B1" s="3" t="s">
        <v>2336</v>
      </c>
    </row>
    <row r="2" spans="1:2" x14ac:dyDescent="0.25">
      <c r="A2" t="s">
        <v>854</v>
      </c>
      <c r="B2" t="s">
        <v>855</v>
      </c>
    </row>
    <row r="3" spans="1:2" x14ac:dyDescent="0.25">
      <c r="A3" t="s">
        <v>960</v>
      </c>
      <c r="B3" t="s">
        <v>961</v>
      </c>
    </row>
    <row r="4" spans="1:2" x14ac:dyDescent="0.25">
      <c r="A4" t="s">
        <v>1012</v>
      </c>
      <c r="B4" t="s">
        <v>1013</v>
      </c>
    </row>
    <row r="5" spans="1:2" x14ac:dyDescent="0.25">
      <c r="A5" t="s">
        <v>1437</v>
      </c>
      <c r="B5" t="s">
        <v>1438</v>
      </c>
    </row>
    <row r="6" spans="1:2" x14ac:dyDescent="0.25">
      <c r="A6" t="s">
        <v>1457</v>
      </c>
      <c r="B6" t="s">
        <v>1458</v>
      </c>
    </row>
    <row r="7" spans="1:2" x14ac:dyDescent="0.25">
      <c r="A7" t="s">
        <v>1488</v>
      </c>
      <c r="B7" t="s">
        <v>1489</v>
      </c>
    </row>
    <row r="8" spans="1:2" x14ac:dyDescent="0.25">
      <c r="A8" t="s">
        <v>1530</v>
      </c>
      <c r="B8" t="s">
        <v>1531</v>
      </c>
    </row>
    <row r="9" spans="1:2" x14ac:dyDescent="0.25">
      <c r="A9" t="s">
        <v>1645</v>
      </c>
      <c r="B9" t="s">
        <v>1646</v>
      </c>
    </row>
    <row r="10" spans="1:2" x14ac:dyDescent="0.25">
      <c r="A10" t="s">
        <v>1722</v>
      </c>
      <c r="B10" t="s">
        <v>1723</v>
      </c>
    </row>
    <row r="11" spans="1:2" x14ac:dyDescent="0.25">
      <c r="A11" t="s">
        <v>1758</v>
      </c>
      <c r="B11" t="s">
        <v>1759</v>
      </c>
    </row>
    <row r="12" spans="1:2" x14ac:dyDescent="0.25">
      <c r="A12" t="s">
        <v>1807</v>
      </c>
      <c r="B12" t="s">
        <v>1808</v>
      </c>
    </row>
    <row r="13" spans="1:2" x14ac:dyDescent="0.25">
      <c r="A13" t="s">
        <v>1842</v>
      </c>
      <c r="B13" t="s">
        <v>1843</v>
      </c>
    </row>
    <row r="14" spans="1:2" x14ac:dyDescent="0.25">
      <c r="A14" t="s">
        <v>1915</v>
      </c>
      <c r="B14" t="s">
        <v>1916</v>
      </c>
    </row>
    <row r="15" spans="1:2" x14ac:dyDescent="0.25">
      <c r="A15" t="s">
        <v>1927</v>
      </c>
      <c r="B15" t="s">
        <v>1928</v>
      </c>
    </row>
    <row r="16" spans="1:2" x14ac:dyDescent="0.25">
      <c r="A16" t="s">
        <v>1993</v>
      </c>
      <c r="B16" t="s">
        <v>1994</v>
      </c>
    </row>
    <row r="17" spans="1:2" x14ac:dyDescent="0.25">
      <c r="A17" t="s">
        <v>2080</v>
      </c>
      <c r="B17" t="s">
        <v>2081</v>
      </c>
    </row>
    <row r="18" spans="1:2" x14ac:dyDescent="0.25">
      <c r="A18" t="s">
        <v>2104</v>
      </c>
      <c r="B18" t="s">
        <v>2105</v>
      </c>
    </row>
    <row r="19" spans="1:2" x14ac:dyDescent="0.25">
      <c r="A19" t="s">
        <v>2140</v>
      </c>
      <c r="B19" t="s">
        <v>2141</v>
      </c>
    </row>
    <row r="20" spans="1:2" x14ac:dyDescent="0.25">
      <c r="A20" t="s">
        <v>2181</v>
      </c>
      <c r="B20" t="s">
        <v>2182</v>
      </c>
    </row>
    <row r="21" spans="1:2" x14ac:dyDescent="0.25">
      <c r="A21" t="s">
        <v>2245</v>
      </c>
      <c r="B21" t="s">
        <v>2246</v>
      </c>
    </row>
    <row r="22" spans="1:2" x14ac:dyDescent="0.25">
      <c r="A22" t="s">
        <v>2314</v>
      </c>
      <c r="B22" t="s">
        <v>2315</v>
      </c>
    </row>
    <row r="23" spans="1:2" x14ac:dyDescent="0.25">
      <c r="A23" t="s">
        <v>2328</v>
      </c>
      <c r="B23" t="s">
        <v>2329</v>
      </c>
    </row>
    <row r="116" spans="1:2" x14ac:dyDescent="0.25">
      <c r="A116" t="s">
        <v>2339</v>
      </c>
      <c r="B116" t="s">
        <v>2341</v>
      </c>
    </row>
    <row r="117" spans="1:2" x14ac:dyDescent="0.25">
      <c r="A117" t="s">
        <v>858</v>
      </c>
      <c r="B117" t="s">
        <v>859</v>
      </c>
    </row>
    <row r="118" spans="1:2" x14ac:dyDescent="0.25">
      <c r="A118" t="s">
        <v>874</v>
      </c>
      <c r="B118" t="s">
        <v>875</v>
      </c>
    </row>
    <row r="119" spans="1:2" x14ac:dyDescent="0.25">
      <c r="A119" t="s">
        <v>894</v>
      </c>
      <c r="B119" t="s">
        <v>895</v>
      </c>
    </row>
    <row r="120" spans="1:2" x14ac:dyDescent="0.25">
      <c r="A120" t="s">
        <v>897</v>
      </c>
      <c r="B120" t="s">
        <v>898</v>
      </c>
    </row>
    <row r="121" spans="1:2" x14ac:dyDescent="0.25">
      <c r="A121" t="s">
        <v>913</v>
      </c>
      <c r="B121" t="s">
        <v>914</v>
      </c>
    </row>
    <row r="122" spans="1:2" x14ac:dyDescent="0.25">
      <c r="A122" t="s">
        <v>916</v>
      </c>
      <c r="B122" t="s">
        <v>917</v>
      </c>
    </row>
    <row r="123" spans="1:2" x14ac:dyDescent="0.25">
      <c r="A123" t="s">
        <v>926</v>
      </c>
      <c r="B123" t="s">
        <v>927</v>
      </c>
    </row>
    <row r="124" spans="1:2" x14ac:dyDescent="0.25">
      <c r="A124" t="s">
        <v>931</v>
      </c>
      <c r="B124" t="s">
        <v>932</v>
      </c>
    </row>
    <row r="125" spans="1:2" x14ac:dyDescent="0.25">
      <c r="A125" t="s">
        <v>934</v>
      </c>
      <c r="B125" t="s">
        <v>935</v>
      </c>
    </row>
    <row r="126" spans="1:2" x14ac:dyDescent="0.25">
      <c r="A126" t="s">
        <v>937</v>
      </c>
      <c r="B126" t="s">
        <v>938</v>
      </c>
    </row>
    <row r="127" spans="1:2" x14ac:dyDescent="0.25">
      <c r="A127" t="s">
        <v>940</v>
      </c>
      <c r="B127" t="s">
        <v>941</v>
      </c>
    </row>
    <row r="128" spans="1:2" x14ac:dyDescent="0.25">
      <c r="A128" t="s">
        <v>945</v>
      </c>
      <c r="B128" t="s">
        <v>946</v>
      </c>
    </row>
    <row r="129" spans="1:2" x14ac:dyDescent="0.25">
      <c r="A129" t="s">
        <v>951</v>
      </c>
      <c r="B129" t="s">
        <v>952</v>
      </c>
    </row>
    <row r="130" spans="1:2" x14ac:dyDescent="0.25">
      <c r="A130" t="s">
        <v>957</v>
      </c>
      <c r="B130" t="s">
        <v>958</v>
      </c>
    </row>
    <row r="131" spans="1:2" x14ac:dyDescent="0.25">
      <c r="A131" t="s">
        <v>964</v>
      </c>
      <c r="B131" t="s">
        <v>965</v>
      </c>
    </row>
    <row r="132" spans="1:2" x14ac:dyDescent="0.25">
      <c r="A132" t="s">
        <v>967</v>
      </c>
      <c r="B132" t="s">
        <v>968</v>
      </c>
    </row>
    <row r="133" spans="1:2" x14ac:dyDescent="0.25">
      <c r="A133" t="s">
        <v>972</v>
      </c>
      <c r="B133" t="s">
        <v>973</v>
      </c>
    </row>
    <row r="134" spans="1:2" x14ac:dyDescent="0.25">
      <c r="A134" t="s">
        <v>975</v>
      </c>
      <c r="B134" t="s">
        <v>976</v>
      </c>
    </row>
    <row r="135" spans="1:2" x14ac:dyDescent="0.25">
      <c r="A135" t="s">
        <v>980</v>
      </c>
      <c r="B135" t="s">
        <v>981</v>
      </c>
    </row>
    <row r="136" spans="1:2" x14ac:dyDescent="0.25">
      <c r="A136" t="s">
        <v>983</v>
      </c>
      <c r="B136" t="s">
        <v>984</v>
      </c>
    </row>
    <row r="137" spans="1:2" x14ac:dyDescent="0.25">
      <c r="A137" t="s">
        <v>991</v>
      </c>
      <c r="B137" t="s">
        <v>992</v>
      </c>
    </row>
    <row r="138" spans="1:2" x14ac:dyDescent="0.25">
      <c r="A138" t="s">
        <v>994</v>
      </c>
      <c r="B138" t="s">
        <v>995</v>
      </c>
    </row>
    <row r="139" spans="1:2" x14ac:dyDescent="0.25">
      <c r="A139" t="s">
        <v>1006</v>
      </c>
      <c r="B139" t="s">
        <v>1007</v>
      </c>
    </row>
    <row r="140" spans="1:2" x14ac:dyDescent="0.25">
      <c r="A140" t="s">
        <v>1009</v>
      </c>
      <c r="B140" t="s">
        <v>1010</v>
      </c>
    </row>
    <row r="141" spans="1:2" x14ac:dyDescent="0.25">
      <c r="A141" t="s">
        <v>1016</v>
      </c>
      <c r="B141" t="s">
        <v>1017</v>
      </c>
    </row>
    <row r="142" spans="1:2" x14ac:dyDescent="0.25">
      <c r="A142" t="s">
        <v>1019</v>
      </c>
      <c r="B142" t="s">
        <v>1020</v>
      </c>
    </row>
    <row r="143" spans="1:2" x14ac:dyDescent="0.25">
      <c r="A143" t="s">
        <v>1022</v>
      </c>
      <c r="B143" t="s">
        <v>1023</v>
      </c>
    </row>
    <row r="144" spans="1:2" x14ac:dyDescent="0.25">
      <c r="A144" t="s">
        <v>1025</v>
      </c>
      <c r="B144" t="s">
        <v>1026</v>
      </c>
    </row>
    <row r="145" spans="1:2" x14ac:dyDescent="0.25">
      <c r="A145" t="s">
        <v>1028</v>
      </c>
      <c r="B145" t="s">
        <v>1029</v>
      </c>
    </row>
    <row r="146" spans="1:2" x14ac:dyDescent="0.25">
      <c r="A146" t="s">
        <v>1031</v>
      </c>
      <c r="B146" t="s">
        <v>1032</v>
      </c>
    </row>
    <row r="147" spans="1:2" x14ac:dyDescent="0.25">
      <c r="A147" t="s">
        <v>1037</v>
      </c>
      <c r="B147" t="s">
        <v>1038</v>
      </c>
    </row>
    <row r="148" spans="1:2" x14ac:dyDescent="0.25">
      <c r="A148" t="s">
        <v>1053</v>
      </c>
      <c r="B148" t="s">
        <v>1054</v>
      </c>
    </row>
    <row r="149" spans="1:2" x14ac:dyDescent="0.25">
      <c r="A149" t="s">
        <v>1058</v>
      </c>
      <c r="B149" t="s">
        <v>1057</v>
      </c>
    </row>
    <row r="150" spans="1:2" x14ac:dyDescent="0.25">
      <c r="A150" t="s">
        <v>1071</v>
      </c>
      <c r="B150" t="s">
        <v>1070</v>
      </c>
    </row>
    <row r="151" spans="1:2" x14ac:dyDescent="0.25">
      <c r="A151" t="s">
        <v>1075</v>
      </c>
      <c r="B151" t="s">
        <v>1076</v>
      </c>
    </row>
    <row r="152" spans="1:2" x14ac:dyDescent="0.25">
      <c r="A152" t="s">
        <v>1083</v>
      </c>
      <c r="B152" t="s">
        <v>1084</v>
      </c>
    </row>
    <row r="153" spans="1:2" x14ac:dyDescent="0.25">
      <c r="A153" t="s">
        <v>1097</v>
      </c>
      <c r="B153" t="s">
        <v>1098</v>
      </c>
    </row>
    <row r="154" spans="1:2" x14ac:dyDescent="0.25">
      <c r="A154" t="s">
        <v>1100</v>
      </c>
      <c r="B154" t="s">
        <v>1101</v>
      </c>
    </row>
    <row r="155" spans="1:2" x14ac:dyDescent="0.25">
      <c r="A155" t="s">
        <v>1103</v>
      </c>
      <c r="B155" t="s">
        <v>1104</v>
      </c>
    </row>
    <row r="156" spans="1:2" x14ac:dyDescent="0.25">
      <c r="A156" t="s">
        <v>1108</v>
      </c>
      <c r="B156" t="s">
        <v>1109</v>
      </c>
    </row>
    <row r="157" spans="1:2" x14ac:dyDescent="0.25">
      <c r="A157" t="s">
        <v>1114</v>
      </c>
      <c r="B157" t="s">
        <v>1115</v>
      </c>
    </row>
    <row r="158" spans="1:2" x14ac:dyDescent="0.25">
      <c r="A158" t="s">
        <v>1119</v>
      </c>
      <c r="B158" t="s">
        <v>1120</v>
      </c>
    </row>
    <row r="159" spans="1:2" x14ac:dyDescent="0.25">
      <c r="A159" t="s">
        <v>1122</v>
      </c>
      <c r="B159" t="s">
        <v>1123</v>
      </c>
    </row>
    <row r="160" spans="1:2" x14ac:dyDescent="0.25">
      <c r="A160" t="s">
        <v>1134</v>
      </c>
      <c r="B160" t="s">
        <v>1133</v>
      </c>
    </row>
    <row r="161" spans="1:2" x14ac:dyDescent="0.25">
      <c r="A161" t="s">
        <v>1143</v>
      </c>
      <c r="B161" t="s">
        <v>1144</v>
      </c>
    </row>
    <row r="162" spans="1:2" x14ac:dyDescent="0.25">
      <c r="A162" t="s">
        <v>1149</v>
      </c>
      <c r="B162" t="s">
        <v>1150</v>
      </c>
    </row>
    <row r="163" spans="1:2" x14ac:dyDescent="0.25">
      <c r="A163" t="s">
        <v>1154</v>
      </c>
      <c r="B163" t="s">
        <v>1155</v>
      </c>
    </row>
    <row r="164" spans="1:2" x14ac:dyDescent="0.25">
      <c r="A164" t="s">
        <v>1157</v>
      </c>
      <c r="B164" t="s">
        <v>1158</v>
      </c>
    </row>
    <row r="165" spans="1:2" x14ac:dyDescent="0.25">
      <c r="A165" t="s">
        <v>1162</v>
      </c>
      <c r="B165" t="s">
        <v>1163</v>
      </c>
    </row>
    <row r="166" spans="1:2" x14ac:dyDescent="0.25">
      <c r="A166" t="s">
        <v>1170</v>
      </c>
      <c r="B166" t="s">
        <v>1171</v>
      </c>
    </row>
    <row r="167" spans="1:2" x14ac:dyDescent="0.25">
      <c r="A167" t="s">
        <v>1180</v>
      </c>
      <c r="B167" t="s">
        <v>1181</v>
      </c>
    </row>
    <row r="168" spans="1:2" x14ac:dyDescent="0.25">
      <c r="A168" t="s">
        <v>1185</v>
      </c>
      <c r="B168" t="s">
        <v>1186</v>
      </c>
    </row>
    <row r="169" spans="1:2" x14ac:dyDescent="0.25">
      <c r="A169" t="s">
        <v>1190</v>
      </c>
      <c r="B169" t="s">
        <v>1191</v>
      </c>
    </row>
    <row r="170" spans="1:2" x14ac:dyDescent="0.25">
      <c r="A170" t="s">
        <v>1196</v>
      </c>
      <c r="B170" t="s">
        <v>1197</v>
      </c>
    </row>
    <row r="171" spans="1:2" x14ac:dyDescent="0.25">
      <c r="A171" t="s">
        <v>1201</v>
      </c>
      <c r="B171" t="s">
        <v>1202</v>
      </c>
    </row>
    <row r="172" spans="1:2" x14ac:dyDescent="0.25">
      <c r="A172" t="s">
        <v>1204</v>
      </c>
      <c r="B172" t="s">
        <v>1205</v>
      </c>
    </row>
    <row r="173" spans="1:2" x14ac:dyDescent="0.25">
      <c r="A173" t="s">
        <v>1222</v>
      </c>
      <c r="B173" t="s">
        <v>1223</v>
      </c>
    </row>
    <row r="174" spans="1:2" x14ac:dyDescent="0.25">
      <c r="A174" t="s">
        <v>1225</v>
      </c>
      <c r="B174" t="s">
        <v>1226</v>
      </c>
    </row>
    <row r="175" spans="1:2" x14ac:dyDescent="0.25">
      <c r="A175" t="s">
        <v>1228</v>
      </c>
      <c r="B175" t="s">
        <v>1229</v>
      </c>
    </row>
    <row r="176" spans="1:2" x14ac:dyDescent="0.25">
      <c r="A176" t="s">
        <v>1236</v>
      </c>
      <c r="B176" t="s">
        <v>1237</v>
      </c>
    </row>
    <row r="177" spans="1:2" x14ac:dyDescent="0.25">
      <c r="A177" t="s">
        <v>1244</v>
      </c>
      <c r="B177" t="s">
        <v>1245</v>
      </c>
    </row>
    <row r="178" spans="1:2" x14ac:dyDescent="0.25">
      <c r="A178" t="s">
        <v>1247</v>
      </c>
      <c r="B178" t="s">
        <v>1248</v>
      </c>
    </row>
    <row r="179" spans="1:2" x14ac:dyDescent="0.25">
      <c r="A179" t="s">
        <v>1259</v>
      </c>
      <c r="B179" t="s">
        <v>1260</v>
      </c>
    </row>
    <row r="180" spans="1:2" x14ac:dyDescent="0.25">
      <c r="A180" t="s">
        <v>1265</v>
      </c>
      <c r="B180" t="s">
        <v>1266</v>
      </c>
    </row>
    <row r="181" spans="1:2" x14ac:dyDescent="0.25">
      <c r="A181" t="s">
        <v>1268</v>
      </c>
      <c r="B181" t="s">
        <v>1269</v>
      </c>
    </row>
    <row r="182" spans="1:2" x14ac:dyDescent="0.25">
      <c r="A182" t="s">
        <v>1271</v>
      </c>
      <c r="B182" t="s">
        <v>1272</v>
      </c>
    </row>
    <row r="183" spans="1:2" x14ac:dyDescent="0.25">
      <c r="A183" t="s">
        <v>1274</v>
      </c>
      <c r="B183" t="s">
        <v>1275</v>
      </c>
    </row>
    <row r="184" spans="1:2" x14ac:dyDescent="0.25">
      <c r="A184" t="s">
        <v>1280</v>
      </c>
      <c r="B184" t="s">
        <v>1281</v>
      </c>
    </row>
    <row r="185" spans="1:2" x14ac:dyDescent="0.25">
      <c r="A185" t="s">
        <v>1283</v>
      </c>
      <c r="B185" t="s">
        <v>1284</v>
      </c>
    </row>
    <row r="186" spans="1:2" x14ac:dyDescent="0.25">
      <c r="A186" t="s">
        <v>1286</v>
      </c>
      <c r="B186" t="s">
        <v>1287</v>
      </c>
    </row>
    <row r="187" spans="1:2" x14ac:dyDescent="0.25">
      <c r="A187" t="s">
        <v>1291</v>
      </c>
      <c r="B187" t="s">
        <v>1292</v>
      </c>
    </row>
    <row r="188" spans="1:2" x14ac:dyDescent="0.25">
      <c r="A188" t="s">
        <v>1294</v>
      </c>
      <c r="B188" t="s">
        <v>1295</v>
      </c>
    </row>
    <row r="189" spans="1:2" x14ac:dyDescent="0.25">
      <c r="A189" t="s">
        <v>1297</v>
      </c>
      <c r="B189" t="s">
        <v>1298</v>
      </c>
    </row>
    <row r="190" spans="1:2" x14ac:dyDescent="0.25">
      <c r="A190" t="s">
        <v>1305</v>
      </c>
      <c r="B190" t="s">
        <v>1306</v>
      </c>
    </row>
    <row r="191" spans="1:2" x14ac:dyDescent="0.25">
      <c r="A191" t="s">
        <v>1308</v>
      </c>
      <c r="B191" t="s">
        <v>1309</v>
      </c>
    </row>
    <row r="192" spans="1:2" x14ac:dyDescent="0.25">
      <c r="A192" t="s">
        <v>1311</v>
      </c>
      <c r="B192" t="s">
        <v>1312</v>
      </c>
    </row>
    <row r="193" spans="1:2" x14ac:dyDescent="0.25">
      <c r="A193" t="s">
        <v>1316</v>
      </c>
      <c r="B193" t="s">
        <v>1317</v>
      </c>
    </row>
    <row r="194" spans="1:2" x14ac:dyDescent="0.25">
      <c r="A194" t="s">
        <v>1336</v>
      </c>
      <c r="B194" t="s">
        <v>1337</v>
      </c>
    </row>
    <row r="195" spans="1:2" x14ac:dyDescent="0.25">
      <c r="A195" t="s">
        <v>1354</v>
      </c>
      <c r="B195" t="s">
        <v>1355</v>
      </c>
    </row>
    <row r="196" spans="1:2" x14ac:dyDescent="0.25">
      <c r="A196" t="s">
        <v>1357</v>
      </c>
      <c r="B196" t="s">
        <v>1358</v>
      </c>
    </row>
    <row r="197" spans="1:2" x14ac:dyDescent="0.25">
      <c r="A197" t="s">
        <v>1360</v>
      </c>
      <c r="B197" t="s">
        <v>1361</v>
      </c>
    </row>
    <row r="198" spans="1:2" x14ac:dyDescent="0.25">
      <c r="A198" t="s">
        <v>1365</v>
      </c>
      <c r="B198" t="s">
        <v>1366</v>
      </c>
    </row>
    <row r="199" spans="1:2" x14ac:dyDescent="0.25">
      <c r="A199" t="s">
        <v>1371</v>
      </c>
      <c r="B199" t="s">
        <v>1372</v>
      </c>
    </row>
    <row r="200" spans="1:2" x14ac:dyDescent="0.25">
      <c r="A200" t="s">
        <v>1374</v>
      </c>
      <c r="B200" t="s">
        <v>1375</v>
      </c>
    </row>
    <row r="201" spans="1:2" x14ac:dyDescent="0.25">
      <c r="A201" t="s">
        <v>1377</v>
      </c>
      <c r="B201" t="s">
        <v>1378</v>
      </c>
    </row>
    <row r="202" spans="1:2" x14ac:dyDescent="0.25">
      <c r="A202" t="s">
        <v>1380</v>
      </c>
      <c r="B202" t="s">
        <v>1381</v>
      </c>
    </row>
    <row r="203" spans="1:2" x14ac:dyDescent="0.25">
      <c r="A203" t="s">
        <v>1390</v>
      </c>
      <c r="B203" t="s">
        <v>1389</v>
      </c>
    </row>
    <row r="204" spans="1:2" x14ac:dyDescent="0.25">
      <c r="A204" t="s">
        <v>1397</v>
      </c>
      <c r="B204" t="s">
        <v>1398</v>
      </c>
    </row>
    <row r="205" spans="1:2" x14ac:dyDescent="0.25">
      <c r="A205" t="s">
        <v>1403</v>
      </c>
      <c r="B205" t="s">
        <v>1404</v>
      </c>
    </row>
    <row r="206" spans="1:2" x14ac:dyDescent="0.25">
      <c r="A206" t="s">
        <v>1406</v>
      </c>
      <c r="B206" t="s">
        <v>1407</v>
      </c>
    </row>
    <row r="207" spans="1:2" x14ac:dyDescent="0.25">
      <c r="A207" t="s">
        <v>1409</v>
      </c>
      <c r="B207" t="s">
        <v>1410</v>
      </c>
    </row>
    <row r="208" spans="1:2" x14ac:dyDescent="0.25">
      <c r="A208" t="s">
        <v>1412</v>
      </c>
      <c r="B208" t="s">
        <v>1413</v>
      </c>
    </row>
    <row r="209" spans="1:2" x14ac:dyDescent="0.25">
      <c r="A209" t="s">
        <v>1415</v>
      </c>
      <c r="B209" t="s">
        <v>1416</v>
      </c>
    </row>
    <row r="210" spans="1:2" x14ac:dyDescent="0.25">
      <c r="A210" t="s">
        <v>1420</v>
      </c>
      <c r="B210" t="s">
        <v>1421</v>
      </c>
    </row>
    <row r="211" spans="1:2" x14ac:dyDescent="0.25">
      <c r="A211" t="s">
        <v>1434</v>
      </c>
      <c r="B211" t="s">
        <v>1435</v>
      </c>
    </row>
    <row r="212" spans="1:2" x14ac:dyDescent="0.25">
      <c r="A212" t="s">
        <v>1440</v>
      </c>
      <c r="B212" t="s">
        <v>1441</v>
      </c>
    </row>
    <row r="213" spans="1:2" x14ac:dyDescent="0.25">
      <c r="A213" t="s">
        <v>1448</v>
      </c>
      <c r="B213" t="s">
        <v>1449</v>
      </c>
    </row>
    <row r="214" spans="1:2" x14ac:dyDescent="0.25">
      <c r="A214" t="s">
        <v>1451</v>
      </c>
      <c r="B214" t="s">
        <v>1452</v>
      </c>
    </row>
    <row r="215" spans="1:2" x14ac:dyDescent="0.25">
      <c r="A215" t="s">
        <v>1454</v>
      </c>
      <c r="B215" t="s">
        <v>1455</v>
      </c>
    </row>
    <row r="216" spans="1:2" x14ac:dyDescent="0.25">
      <c r="A216" t="s">
        <v>1461</v>
      </c>
      <c r="B216" t="s">
        <v>1460</v>
      </c>
    </row>
    <row r="217" spans="1:2" x14ac:dyDescent="0.25">
      <c r="A217" t="s">
        <v>1465</v>
      </c>
      <c r="B217" t="s">
        <v>1464</v>
      </c>
    </row>
    <row r="218" spans="1:2" x14ac:dyDescent="0.25">
      <c r="A218" t="s">
        <v>1469</v>
      </c>
      <c r="B218" t="s">
        <v>1470</v>
      </c>
    </row>
    <row r="219" spans="1:2" x14ac:dyDescent="0.25">
      <c r="A219" t="s">
        <v>1475</v>
      </c>
      <c r="B219" t="s">
        <v>1476</v>
      </c>
    </row>
    <row r="220" spans="1:2" x14ac:dyDescent="0.25">
      <c r="A220" t="s">
        <v>1481</v>
      </c>
      <c r="B220" t="s">
        <v>1482</v>
      </c>
    </row>
    <row r="221" spans="1:2" x14ac:dyDescent="0.25">
      <c r="A221" t="s">
        <v>1486</v>
      </c>
      <c r="B221" t="s">
        <v>1485</v>
      </c>
    </row>
    <row r="222" spans="1:2" x14ac:dyDescent="0.25">
      <c r="A222" t="s">
        <v>1492</v>
      </c>
      <c r="B222" t="s">
        <v>1491</v>
      </c>
    </row>
    <row r="223" spans="1:2" x14ac:dyDescent="0.25">
      <c r="A223" t="s">
        <v>1496</v>
      </c>
      <c r="B223" t="s">
        <v>1497</v>
      </c>
    </row>
    <row r="224" spans="1:2" x14ac:dyDescent="0.25">
      <c r="A224" t="s">
        <v>1499</v>
      </c>
      <c r="B224" t="s">
        <v>1500</v>
      </c>
    </row>
    <row r="225" spans="1:2" x14ac:dyDescent="0.25">
      <c r="A225" t="s">
        <v>1502</v>
      </c>
      <c r="B225" t="s">
        <v>1503</v>
      </c>
    </row>
    <row r="226" spans="1:2" x14ac:dyDescent="0.25">
      <c r="A226" t="s">
        <v>1507</v>
      </c>
      <c r="B226" t="s">
        <v>1508</v>
      </c>
    </row>
    <row r="227" spans="1:2" x14ac:dyDescent="0.25">
      <c r="A227" t="s">
        <v>1513</v>
      </c>
      <c r="B227" t="s">
        <v>1514</v>
      </c>
    </row>
    <row r="228" spans="1:2" x14ac:dyDescent="0.25">
      <c r="A228" t="s">
        <v>1521</v>
      </c>
      <c r="B228" t="s">
        <v>1522</v>
      </c>
    </row>
    <row r="229" spans="1:2" x14ac:dyDescent="0.25">
      <c r="A229" t="s">
        <v>1524</v>
      </c>
      <c r="B229" t="s">
        <v>1525</v>
      </c>
    </row>
    <row r="230" spans="1:2" x14ac:dyDescent="0.25">
      <c r="A230" t="s">
        <v>1527</v>
      </c>
      <c r="B230" t="s">
        <v>1528</v>
      </c>
    </row>
    <row r="231" spans="1:2" x14ac:dyDescent="0.25">
      <c r="A231" t="s">
        <v>1534</v>
      </c>
      <c r="B231" t="s">
        <v>1535</v>
      </c>
    </row>
    <row r="232" spans="1:2" x14ac:dyDescent="0.25">
      <c r="A232" t="s">
        <v>1537</v>
      </c>
      <c r="B232" t="s">
        <v>1538</v>
      </c>
    </row>
    <row r="233" spans="1:2" x14ac:dyDescent="0.25">
      <c r="A233" t="s">
        <v>1540</v>
      </c>
      <c r="B233" t="s">
        <v>1541</v>
      </c>
    </row>
    <row r="234" spans="1:2" x14ac:dyDescent="0.25">
      <c r="A234" t="s">
        <v>1543</v>
      </c>
      <c r="B234" t="s">
        <v>1544</v>
      </c>
    </row>
    <row r="235" spans="1:2" x14ac:dyDescent="0.25">
      <c r="A235" t="s">
        <v>1551</v>
      </c>
      <c r="B235" t="s">
        <v>1552</v>
      </c>
    </row>
    <row r="236" spans="1:2" x14ac:dyDescent="0.25">
      <c r="A236" t="s">
        <v>1561</v>
      </c>
      <c r="B236" t="s">
        <v>1562</v>
      </c>
    </row>
    <row r="237" spans="1:2" x14ac:dyDescent="0.25">
      <c r="A237" t="s">
        <v>1569</v>
      </c>
      <c r="B237" t="s">
        <v>1570</v>
      </c>
    </row>
    <row r="238" spans="1:2" x14ac:dyDescent="0.25">
      <c r="A238" t="s">
        <v>1579</v>
      </c>
      <c r="B238" t="s">
        <v>1580</v>
      </c>
    </row>
    <row r="239" spans="1:2" x14ac:dyDescent="0.25">
      <c r="A239" t="s">
        <v>1584</v>
      </c>
      <c r="B239" t="s">
        <v>1585</v>
      </c>
    </row>
    <row r="240" spans="1:2" x14ac:dyDescent="0.25">
      <c r="A240" t="s">
        <v>1590</v>
      </c>
      <c r="B240" t="s">
        <v>1591</v>
      </c>
    </row>
    <row r="241" spans="1:2" x14ac:dyDescent="0.25">
      <c r="A241" t="s">
        <v>1598</v>
      </c>
      <c r="B241" t="s">
        <v>1599</v>
      </c>
    </row>
    <row r="242" spans="1:2" x14ac:dyDescent="0.25">
      <c r="A242" t="s">
        <v>1601</v>
      </c>
      <c r="B242" t="s">
        <v>1602</v>
      </c>
    </row>
    <row r="243" spans="1:2" x14ac:dyDescent="0.25">
      <c r="A243" t="s">
        <v>1604</v>
      </c>
      <c r="B243" t="s">
        <v>1605</v>
      </c>
    </row>
    <row r="244" spans="1:2" x14ac:dyDescent="0.25">
      <c r="A244" t="s">
        <v>1614</v>
      </c>
      <c r="B244" t="s">
        <v>1615</v>
      </c>
    </row>
    <row r="245" spans="1:2" x14ac:dyDescent="0.25">
      <c r="A245" t="s">
        <v>1624</v>
      </c>
      <c r="B245" t="s">
        <v>1625</v>
      </c>
    </row>
    <row r="246" spans="1:2" x14ac:dyDescent="0.25">
      <c r="A246" t="s">
        <v>1634</v>
      </c>
      <c r="B246" t="s">
        <v>1635</v>
      </c>
    </row>
    <row r="247" spans="1:2" x14ac:dyDescent="0.25">
      <c r="A247" t="s">
        <v>1642</v>
      </c>
      <c r="B247" t="s">
        <v>1643</v>
      </c>
    </row>
    <row r="248" spans="1:2" x14ac:dyDescent="0.25">
      <c r="A248" t="s">
        <v>1649</v>
      </c>
      <c r="B248" t="s">
        <v>1650</v>
      </c>
    </row>
    <row r="249" spans="1:2" x14ac:dyDescent="0.25">
      <c r="A249" t="s">
        <v>1655</v>
      </c>
      <c r="B249" t="s">
        <v>1656</v>
      </c>
    </row>
    <row r="250" spans="1:2" x14ac:dyDescent="0.25">
      <c r="A250" t="s">
        <v>1663</v>
      </c>
      <c r="B250" t="s">
        <v>1664</v>
      </c>
    </row>
    <row r="251" spans="1:2" x14ac:dyDescent="0.25">
      <c r="A251" t="s">
        <v>1668</v>
      </c>
      <c r="B251" t="s">
        <v>1669</v>
      </c>
    </row>
    <row r="252" spans="1:2" x14ac:dyDescent="0.25">
      <c r="A252" t="s">
        <v>1674</v>
      </c>
      <c r="B252" t="s">
        <v>1675</v>
      </c>
    </row>
    <row r="253" spans="1:2" x14ac:dyDescent="0.25">
      <c r="A253" t="s">
        <v>1682</v>
      </c>
      <c r="B253" t="s">
        <v>1683</v>
      </c>
    </row>
    <row r="254" spans="1:2" x14ac:dyDescent="0.25">
      <c r="A254" t="s">
        <v>1685</v>
      </c>
      <c r="B254" t="s">
        <v>1686</v>
      </c>
    </row>
    <row r="255" spans="1:2" x14ac:dyDescent="0.25">
      <c r="A255" t="s">
        <v>1690</v>
      </c>
      <c r="B255" t="s">
        <v>1691</v>
      </c>
    </row>
    <row r="256" spans="1:2" x14ac:dyDescent="0.25">
      <c r="A256" t="s">
        <v>1693</v>
      </c>
      <c r="B256" t="s">
        <v>1694</v>
      </c>
    </row>
    <row r="257" spans="1:2" x14ac:dyDescent="0.25">
      <c r="A257" t="s">
        <v>1705</v>
      </c>
      <c r="B257" t="s">
        <v>1706</v>
      </c>
    </row>
    <row r="258" spans="1:2" x14ac:dyDescent="0.25">
      <c r="A258" t="s">
        <v>1713</v>
      </c>
      <c r="B258" t="s">
        <v>1714</v>
      </c>
    </row>
    <row r="259" spans="1:2" x14ac:dyDescent="0.25">
      <c r="A259" t="s">
        <v>1716</v>
      </c>
      <c r="B259" t="s">
        <v>1717</v>
      </c>
    </row>
    <row r="260" spans="1:2" x14ac:dyDescent="0.25">
      <c r="A260" t="s">
        <v>1719</v>
      </c>
      <c r="B260" t="s">
        <v>1720</v>
      </c>
    </row>
    <row r="261" spans="1:2" x14ac:dyDescent="0.25">
      <c r="A261" t="s">
        <v>1726</v>
      </c>
      <c r="B261" t="s">
        <v>1727</v>
      </c>
    </row>
    <row r="262" spans="1:2" x14ac:dyDescent="0.25">
      <c r="A262" t="s">
        <v>1729</v>
      </c>
      <c r="B262" t="s">
        <v>1730</v>
      </c>
    </row>
    <row r="263" spans="1:2" x14ac:dyDescent="0.25">
      <c r="A263" t="s">
        <v>1732</v>
      </c>
      <c r="B263" t="s">
        <v>1733</v>
      </c>
    </row>
    <row r="264" spans="1:2" x14ac:dyDescent="0.25">
      <c r="A264" t="s">
        <v>1735</v>
      </c>
      <c r="B264" t="s">
        <v>1736</v>
      </c>
    </row>
    <row r="265" spans="1:2" x14ac:dyDescent="0.25">
      <c r="A265" t="s">
        <v>1738</v>
      </c>
      <c r="B265" t="s">
        <v>1739</v>
      </c>
    </row>
    <row r="266" spans="1:2" x14ac:dyDescent="0.25">
      <c r="A266" t="s">
        <v>1743</v>
      </c>
      <c r="B266" t="s">
        <v>1744</v>
      </c>
    </row>
    <row r="267" spans="1:2" x14ac:dyDescent="0.25">
      <c r="A267" t="s">
        <v>1746</v>
      </c>
      <c r="B267" t="s">
        <v>1747</v>
      </c>
    </row>
    <row r="268" spans="1:2" x14ac:dyDescent="0.25">
      <c r="A268" t="s">
        <v>1752</v>
      </c>
      <c r="B268" t="s">
        <v>1753</v>
      </c>
    </row>
    <row r="269" spans="1:2" x14ac:dyDescent="0.25">
      <c r="A269" t="s">
        <v>1755</v>
      </c>
      <c r="B269" t="s">
        <v>1756</v>
      </c>
    </row>
    <row r="270" spans="1:2" x14ac:dyDescent="0.25">
      <c r="A270" t="s">
        <v>1762</v>
      </c>
      <c r="B270" t="s">
        <v>1763</v>
      </c>
    </row>
    <row r="271" spans="1:2" x14ac:dyDescent="0.25">
      <c r="A271" t="s">
        <v>1772</v>
      </c>
      <c r="B271" t="s">
        <v>1773</v>
      </c>
    </row>
    <row r="272" spans="1:2" x14ac:dyDescent="0.25">
      <c r="A272" t="s">
        <v>1780</v>
      </c>
      <c r="B272" t="s">
        <v>1781</v>
      </c>
    </row>
    <row r="273" spans="1:2" x14ac:dyDescent="0.25">
      <c r="A273" t="s">
        <v>1790</v>
      </c>
      <c r="B273" t="s">
        <v>1791</v>
      </c>
    </row>
    <row r="274" spans="1:2" x14ac:dyDescent="0.25">
      <c r="A274" t="s">
        <v>1795</v>
      </c>
      <c r="B274" t="s">
        <v>1796</v>
      </c>
    </row>
    <row r="275" spans="1:2" x14ac:dyDescent="0.25">
      <c r="A275" t="s">
        <v>1798</v>
      </c>
      <c r="B275" t="s">
        <v>1799</v>
      </c>
    </row>
    <row r="276" spans="1:2" x14ac:dyDescent="0.25">
      <c r="A276" t="s">
        <v>1801</v>
      </c>
      <c r="B276" t="s">
        <v>1802</v>
      </c>
    </row>
    <row r="277" spans="1:2" x14ac:dyDescent="0.25">
      <c r="A277" t="s">
        <v>1811</v>
      </c>
      <c r="B277" t="s">
        <v>1812</v>
      </c>
    </row>
    <row r="278" spans="1:2" x14ac:dyDescent="0.25">
      <c r="A278" t="s">
        <v>1814</v>
      </c>
      <c r="B278" t="s">
        <v>1815</v>
      </c>
    </row>
    <row r="279" spans="1:2" x14ac:dyDescent="0.25">
      <c r="A279" t="s">
        <v>1817</v>
      </c>
      <c r="B279" t="s">
        <v>1818</v>
      </c>
    </row>
    <row r="280" spans="1:2" x14ac:dyDescent="0.25">
      <c r="A280" t="s">
        <v>1822</v>
      </c>
      <c r="B280" t="s">
        <v>1823</v>
      </c>
    </row>
    <row r="281" spans="1:2" x14ac:dyDescent="0.25">
      <c r="A281" t="s">
        <v>1828</v>
      </c>
      <c r="B281" t="s">
        <v>1829</v>
      </c>
    </row>
    <row r="282" spans="1:2" x14ac:dyDescent="0.25">
      <c r="A282" t="s">
        <v>1831</v>
      </c>
      <c r="B282" t="s">
        <v>1832</v>
      </c>
    </row>
    <row r="283" spans="1:2" x14ac:dyDescent="0.25">
      <c r="A283" t="s">
        <v>1836</v>
      </c>
      <c r="B283" t="s">
        <v>1837</v>
      </c>
    </row>
    <row r="284" spans="1:2" x14ac:dyDescent="0.25">
      <c r="A284" t="s">
        <v>1839</v>
      </c>
      <c r="B284" t="s">
        <v>1840</v>
      </c>
    </row>
    <row r="285" spans="1:2" x14ac:dyDescent="0.25">
      <c r="A285" t="s">
        <v>1846</v>
      </c>
      <c r="B285" t="s">
        <v>1847</v>
      </c>
    </row>
    <row r="286" spans="1:2" x14ac:dyDescent="0.25">
      <c r="A286" t="s">
        <v>1852</v>
      </c>
      <c r="B286" t="s">
        <v>1853</v>
      </c>
    </row>
    <row r="287" spans="1:2" x14ac:dyDescent="0.25">
      <c r="A287" t="s">
        <v>1858</v>
      </c>
      <c r="B287" t="s">
        <v>1859</v>
      </c>
    </row>
    <row r="288" spans="1:2" x14ac:dyDescent="0.25">
      <c r="A288" t="s">
        <v>1866</v>
      </c>
      <c r="B288" t="s">
        <v>1867</v>
      </c>
    </row>
    <row r="289" spans="1:2" x14ac:dyDescent="0.25">
      <c r="A289" t="s">
        <v>1882</v>
      </c>
      <c r="B289" t="s">
        <v>1883</v>
      </c>
    </row>
    <row r="290" spans="1:2" x14ac:dyDescent="0.25">
      <c r="A290" t="s">
        <v>1888</v>
      </c>
      <c r="B290" t="s">
        <v>1889</v>
      </c>
    </row>
    <row r="291" spans="1:2" x14ac:dyDescent="0.25">
      <c r="A291" t="s">
        <v>1891</v>
      </c>
      <c r="B291" t="s">
        <v>1892</v>
      </c>
    </row>
    <row r="292" spans="1:2" x14ac:dyDescent="0.25">
      <c r="A292" t="s">
        <v>1896</v>
      </c>
      <c r="B292" t="s">
        <v>1897</v>
      </c>
    </row>
    <row r="293" spans="1:2" x14ac:dyDescent="0.25">
      <c r="A293" t="s">
        <v>1904</v>
      </c>
      <c r="B293" t="s">
        <v>1905</v>
      </c>
    </row>
    <row r="294" spans="1:2" x14ac:dyDescent="0.25">
      <c r="A294" t="s">
        <v>1912</v>
      </c>
      <c r="B294" t="s">
        <v>1913</v>
      </c>
    </row>
    <row r="295" spans="1:2" x14ac:dyDescent="0.25">
      <c r="A295" t="s">
        <v>1918</v>
      </c>
      <c r="B295" t="s">
        <v>1919</v>
      </c>
    </row>
    <row r="296" spans="1:2" x14ac:dyDescent="0.25">
      <c r="A296" t="s">
        <v>1921</v>
      </c>
      <c r="B296" t="s">
        <v>1922</v>
      </c>
    </row>
    <row r="297" spans="1:2" x14ac:dyDescent="0.25">
      <c r="A297" t="s">
        <v>1931</v>
      </c>
      <c r="B297" t="s">
        <v>1932</v>
      </c>
    </row>
    <row r="298" spans="1:2" x14ac:dyDescent="0.25">
      <c r="A298" t="s">
        <v>1934</v>
      </c>
      <c r="B298" t="s">
        <v>1935</v>
      </c>
    </row>
    <row r="299" spans="1:2" x14ac:dyDescent="0.25">
      <c r="A299" t="s">
        <v>1939</v>
      </c>
      <c r="B299" t="s">
        <v>1940</v>
      </c>
    </row>
    <row r="300" spans="1:2" x14ac:dyDescent="0.25">
      <c r="A300" t="s">
        <v>1942</v>
      </c>
      <c r="B300" t="s">
        <v>1943</v>
      </c>
    </row>
    <row r="301" spans="1:2" x14ac:dyDescent="0.25">
      <c r="A301" t="s">
        <v>1947</v>
      </c>
      <c r="B301" t="s">
        <v>1948</v>
      </c>
    </row>
    <row r="302" spans="1:2" x14ac:dyDescent="0.25">
      <c r="A302" t="s">
        <v>1950</v>
      </c>
      <c r="B302" t="s">
        <v>1951</v>
      </c>
    </row>
    <row r="303" spans="1:2" x14ac:dyDescent="0.25">
      <c r="A303" t="s">
        <v>1955</v>
      </c>
      <c r="B303" t="s">
        <v>1956</v>
      </c>
    </row>
    <row r="304" spans="1:2" x14ac:dyDescent="0.25">
      <c r="A304" t="s">
        <v>1958</v>
      </c>
      <c r="B304" t="s">
        <v>1959</v>
      </c>
    </row>
    <row r="305" spans="1:2" x14ac:dyDescent="0.25">
      <c r="A305" t="s">
        <v>1963</v>
      </c>
      <c r="B305" t="s">
        <v>1964</v>
      </c>
    </row>
    <row r="306" spans="1:2" x14ac:dyDescent="0.25">
      <c r="A306" t="s">
        <v>1966</v>
      </c>
      <c r="B306" t="s">
        <v>1967</v>
      </c>
    </row>
    <row r="307" spans="1:2" x14ac:dyDescent="0.25">
      <c r="A307" t="s">
        <v>1969</v>
      </c>
      <c r="B307" t="s">
        <v>1970</v>
      </c>
    </row>
    <row r="308" spans="1:2" x14ac:dyDescent="0.25">
      <c r="A308" t="s">
        <v>1974</v>
      </c>
      <c r="B308" t="s">
        <v>1975</v>
      </c>
    </row>
    <row r="309" spans="1:2" x14ac:dyDescent="0.25">
      <c r="A309" t="s">
        <v>1977</v>
      </c>
      <c r="B309" t="s">
        <v>1978</v>
      </c>
    </row>
    <row r="310" spans="1:2" x14ac:dyDescent="0.25">
      <c r="A310" t="s">
        <v>1980</v>
      </c>
      <c r="B310" t="s">
        <v>1981</v>
      </c>
    </row>
    <row r="311" spans="1:2" x14ac:dyDescent="0.25">
      <c r="A311" t="s">
        <v>1983</v>
      </c>
      <c r="B311" t="s">
        <v>1984</v>
      </c>
    </row>
    <row r="312" spans="1:2" x14ac:dyDescent="0.25">
      <c r="A312" t="s">
        <v>1991</v>
      </c>
      <c r="B312" t="s">
        <v>1990</v>
      </c>
    </row>
    <row r="313" spans="1:2" x14ac:dyDescent="0.25">
      <c r="A313" t="s">
        <v>1997</v>
      </c>
      <c r="B313" t="s">
        <v>1998</v>
      </c>
    </row>
    <row r="314" spans="1:2" x14ac:dyDescent="0.25">
      <c r="A314" t="s">
        <v>2000</v>
      </c>
      <c r="B314" t="s">
        <v>2001</v>
      </c>
    </row>
    <row r="315" spans="1:2" x14ac:dyDescent="0.25">
      <c r="A315" t="s">
        <v>2006</v>
      </c>
      <c r="B315" t="s">
        <v>2007</v>
      </c>
    </row>
    <row r="316" spans="1:2" x14ac:dyDescent="0.25">
      <c r="A316" t="s">
        <v>2009</v>
      </c>
      <c r="B316" t="s">
        <v>2010</v>
      </c>
    </row>
    <row r="317" spans="1:2" x14ac:dyDescent="0.25">
      <c r="A317" t="s">
        <v>2012</v>
      </c>
      <c r="B317" t="s">
        <v>2013</v>
      </c>
    </row>
    <row r="318" spans="1:2" x14ac:dyDescent="0.25">
      <c r="A318" t="s">
        <v>2020</v>
      </c>
      <c r="B318" t="s">
        <v>2021</v>
      </c>
    </row>
    <row r="319" spans="1:2" x14ac:dyDescent="0.25">
      <c r="A319" t="s">
        <v>2023</v>
      </c>
      <c r="B319" t="s">
        <v>2024</v>
      </c>
    </row>
    <row r="320" spans="1:2" x14ac:dyDescent="0.25">
      <c r="A320" t="s">
        <v>2028</v>
      </c>
      <c r="B320" t="s">
        <v>2029</v>
      </c>
    </row>
    <row r="321" spans="1:2" x14ac:dyDescent="0.25">
      <c r="A321" t="s">
        <v>2034</v>
      </c>
      <c r="B321" t="s">
        <v>2035</v>
      </c>
    </row>
    <row r="322" spans="1:2" x14ac:dyDescent="0.25">
      <c r="A322" t="s">
        <v>2039</v>
      </c>
      <c r="B322" t="s">
        <v>2038</v>
      </c>
    </row>
    <row r="323" spans="1:2" x14ac:dyDescent="0.25">
      <c r="A323" t="s">
        <v>2046</v>
      </c>
      <c r="B323" t="s">
        <v>2047</v>
      </c>
    </row>
    <row r="324" spans="1:2" x14ac:dyDescent="0.25">
      <c r="A324" t="s">
        <v>2049</v>
      </c>
      <c r="B324" t="s">
        <v>2050</v>
      </c>
    </row>
    <row r="325" spans="1:2" x14ac:dyDescent="0.25">
      <c r="A325" t="s">
        <v>2055</v>
      </c>
      <c r="B325" t="s">
        <v>2056</v>
      </c>
    </row>
    <row r="326" spans="1:2" x14ac:dyDescent="0.25">
      <c r="A326" t="s">
        <v>2060</v>
      </c>
      <c r="B326" t="s">
        <v>2061</v>
      </c>
    </row>
    <row r="327" spans="1:2" x14ac:dyDescent="0.25">
      <c r="A327" t="s">
        <v>2063</v>
      </c>
      <c r="B327" t="s">
        <v>2064</v>
      </c>
    </row>
    <row r="328" spans="1:2" x14ac:dyDescent="0.25">
      <c r="A328" t="s">
        <v>2066</v>
      </c>
      <c r="B328" t="s">
        <v>2067</v>
      </c>
    </row>
    <row r="329" spans="1:2" x14ac:dyDescent="0.25">
      <c r="A329" t="s">
        <v>2069</v>
      </c>
      <c r="B329" t="s">
        <v>2070</v>
      </c>
    </row>
    <row r="330" spans="1:2" x14ac:dyDescent="0.25">
      <c r="A330" t="s">
        <v>2072</v>
      </c>
      <c r="B330" t="s">
        <v>2073</v>
      </c>
    </row>
    <row r="331" spans="1:2" x14ac:dyDescent="0.25">
      <c r="A331" t="s">
        <v>2083</v>
      </c>
      <c r="B331" t="s">
        <v>2084</v>
      </c>
    </row>
    <row r="332" spans="1:2" x14ac:dyDescent="0.25">
      <c r="A332" t="s">
        <v>2093</v>
      </c>
      <c r="B332" t="s">
        <v>2094</v>
      </c>
    </row>
    <row r="333" spans="1:2" x14ac:dyDescent="0.25">
      <c r="A333" t="s">
        <v>2101</v>
      </c>
      <c r="B333" t="s">
        <v>2102</v>
      </c>
    </row>
    <row r="334" spans="1:2" x14ac:dyDescent="0.25">
      <c r="A334" t="s">
        <v>2107</v>
      </c>
      <c r="B334" t="s">
        <v>2108</v>
      </c>
    </row>
    <row r="335" spans="1:2" x14ac:dyDescent="0.25">
      <c r="A335" t="s">
        <v>2110</v>
      </c>
      <c r="B335" t="s">
        <v>2111</v>
      </c>
    </row>
    <row r="336" spans="1:2" x14ac:dyDescent="0.25">
      <c r="A336" t="s">
        <v>2113</v>
      </c>
      <c r="B336" t="s">
        <v>2114</v>
      </c>
    </row>
    <row r="337" spans="1:2" x14ac:dyDescent="0.25">
      <c r="A337" t="s">
        <v>2121</v>
      </c>
      <c r="B337" t="s">
        <v>2122</v>
      </c>
    </row>
    <row r="338" spans="1:2" x14ac:dyDescent="0.25">
      <c r="A338" t="s">
        <v>2124</v>
      </c>
      <c r="B338" t="s">
        <v>2125</v>
      </c>
    </row>
    <row r="339" spans="1:2" x14ac:dyDescent="0.25">
      <c r="A339" t="s">
        <v>2134</v>
      </c>
      <c r="B339" t="s">
        <v>2135</v>
      </c>
    </row>
    <row r="340" spans="1:2" x14ac:dyDescent="0.25">
      <c r="A340" t="s">
        <v>2144</v>
      </c>
      <c r="B340" t="s">
        <v>2145</v>
      </c>
    </row>
    <row r="341" spans="1:2" x14ac:dyDescent="0.25">
      <c r="A341" t="s">
        <v>2147</v>
      </c>
      <c r="B341" t="s">
        <v>2148</v>
      </c>
    </row>
    <row r="342" spans="1:2" x14ac:dyDescent="0.25">
      <c r="A342" t="s">
        <v>2150</v>
      </c>
      <c r="B342" t="s">
        <v>2151</v>
      </c>
    </row>
    <row r="343" spans="1:2" x14ac:dyDescent="0.25">
      <c r="A343" t="s">
        <v>2158</v>
      </c>
      <c r="B343" t="s">
        <v>2159</v>
      </c>
    </row>
    <row r="344" spans="1:2" x14ac:dyDescent="0.25">
      <c r="A344" t="s">
        <v>2161</v>
      </c>
      <c r="B344" t="s">
        <v>2162</v>
      </c>
    </row>
    <row r="345" spans="1:2" x14ac:dyDescent="0.25">
      <c r="A345" t="s">
        <v>2164</v>
      </c>
      <c r="B345" t="s">
        <v>2165</v>
      </c>
    </row>
    <row r="346" spans="1:2" x14ac:dyDescent="0.25">
      <c r="A346" t="s">
        <v>2167</v>
      </c>
      <c r="B346" t="s">
        <v>2168</v>
      </c>
    </row>
    <row r="347" spans="1:2" x14ac:dyDescent="0.25">
      <c r="A347" t="s">
        <v>2175</v>
      </c>
      <c r="B347" t="s">
        <v>2176</v>
      </c>
    </row>
    <row r="348" spans="1:2" x14ac:dyDescent="0.25">
      <c r="A348" t="s">
        <v>2178</v>
      </c>
      <c r="B348" t="s">
        <v>2179</v>
      </c>
    </row>
    <row r="349" spans="1:2" x14ac:dyDescent="0.25">
      <c r="A349" t="s">
        <v>2185</v>
      </c>
      <c r="B349" t="s">
        <v>2186</v>
      </c>
    </row>
    <row r="350" spans="1:2" x14ac:dyDescent="0.25">
      <c r="A350" t="s">
        <v>2193</v>
      </c>
      <c r="B350" t="s">
        <v>2194</v>
      </c>
    </row>
    <row r="351" spans="1:2" x14ac:dyDescent="0.25">
      <c r="A351" t="s">
        <v>2196</v>
      </c>
      <c r="B351" t="s">
        <v>2197</v>
      </c>
    </row>
    <row r="352" spans="1:2" x14ac:dyDescent="0.25">
      <c r="A352" t="s">
        <v>2204</v>
      </c>
      <c r="B352" t="s">
        <v>2205</v>
      </c>
    </row>
    <row r="353" spans="1:2" x14ac:dyDescent="0.25">
      <c r="A353" t="s">
        <v>2210</v>
      </c>
      <c r="B353" t="s">
        <v>2211</v>
      </c>
    </row>
    <row r="354" spans="1:2" x14ac:dyDescent="0.25">
      <c r="A354" t="s">
        <v>2216</v>
      </c>
      <c r="B354" t="s">
        <v>2217</v>
      </c>
    </row>
    <row r="355" spans="1:2" x14ac:dyDescent="0.25">
      <c r="A355" t="s">
        <v>2219</v>
      </c>
      <c r="B355" t="s">
        <v>2220</v>
      </c>
    </row>
    <row r="356" spans="1:2" x14ac:dyDescent="0.25">
      <c r="A356" t="s">
        <v>2227</v>
      </c>
      <c r="B356" t="s">
        <v>2226</v>
      </c>
    </row>
    <row r="357" spans="1:2" x14ac:dyDescent="0.25">
      <c r="A357" t="s">
        <v>2231</v>
      </c>
      <c r="B357" t="s">
        <v>2232</v>
      </c>
    </row>
    <row r="358" spans="1:2" x14ac:dyDescent="0.25">
      <c r="A358" t="s">
        <v>2239</v>
      </c>
      <c r="B358" t="s">
        <v>2240</v>
      </c>
    </row>
    <row r="359" spans="1:2" x14ac:dyDescent="0.25">
      <c r="A359" t="s">
        <v>2249</v>
      </c>
      <c r="B359" t="s">
        <v>2250</v>
      </c>
    </row>
    <row r="360" spans="1:2" x14ac:dyDescent="0.25">
      <c r="A360" t="s">
        <v>2255</v>
      </c>
      <c r="B360" t="s">
        <v>2256</v>
      </c>
    </row>
    <row r="361" spans="1:2" x14ac:dyDescent="0.25">
      <c r="A361" t="s">
        <v>2258</v>
      </c>
      <c r="B361" t="s">
        <v>2259</v>
      </c>
    </row>
    <row r="362" spans="1:2" x14ac:dyDescent="0.25">
      <c r="A362" t="s">
        <v>2268</v>
      </c>
      <c r="B362" t="s">
        <v>2269</v>
      </c>
    </row>
    <row r="363" spans="1:2" x14ac:dyDescent="0.25">
      <c r="A363" t="s">
        <v>2271</v>
      </c>
      <c r="B363" t="s">
        <v>2272</v>
      </c>
    </row>
    <row r="364" spans="1:2" x14ac:dyDescent="0.25">
      <c r="A364" t="s">
        <v>2283</v>
      </c>
      <c r="B364" t="s">
        <v>2284</v>
      </c>
    </row>
    <row r="365" spans="1:2" x14ac:dyDescent="0.25">
      <c r="A365" t="s">
        <v>2289</v>
      </c>
      <c r="B365" t="s">
        <v>2290</v>
      </c>
    </row>
    <row r="366" spans="1:2" x14ac:dyDescent="0.25">
      <c r="A366" t="s">
        <v>2294</v>
      </c>
      <c r="B366" t="s">
        <v>2295</v>
      </c>
    </row>
    <row r="367" spans="1:2" x14ac:dyDescent="0.25">
      <c r="A367" t="s">
        <v>2297</v>
      </c>
      <c r="B367" t="s">
        <v>2298</v>
      </c>
    </row>
    <row r="368" spans="1:2" x14ac:dyDescent="0.25">
      <c r="A368" t="s">
        <v>2305</v>
      </c>
      <c r="B368" t="s">
        <v>2306</v>
      </c>
    </row>
    <row r="369" spans="1:2" x14ac:dyDescent="0.25">
      <c r="A369" t="s">
        <v>2308</v>
      </c>
      <c r="B369" t="s">
        <v>2309</v>
      </c>
    </row>
    <row r="370" spans="1:2" x14ac:dyDescent="0.25">
      <c r="A370" t="s">
        <v>2311</v>
      </c>
      <c r="B370" t="s">
        <v>2312</v>
      </c>
    </row>
    <row r="371" spans="1:2" x14ac:dyDescent="0.25">
      <c r="A371" t="s">
        <v>2318</v>
      </c>
      <c r="B371" t="s">
        <v>2317</v>
      </c>
    </row>
    <row r="372" spans="1:2" x14ac:dyDescent="0.25">
      <c r="A372" t="s">
        <v>2322</v>
      </c>
      <c r="B372" t="s">
        <v>2323</v>
      </c>
    </row>
    <row r="373" spans="1:2" x14ac:dyDescent="0.25">
      <c r="A373" t="s">
        <v>2325</v>
      </c>
      <c r="B373" t="s">
        <v>2326</v>
      </c>
    </row>
    <row r="374" spans="1:2" x14ac:dyDescent="0.25">
      <c r="A374" t="s">
        <v>2331</v>
      </c>
      <c r="B374" t="s">
        <v>2329</v>
      </c>
    </row>
  </sheetData>
  <autoFilter ref="A1:B23" xr:uid="{7855F2D9-83E3-4D4C-86A0-B637B5FBD23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55C3-5F75-4CA1-9C3B-14469D2B2E49}">
  <dimension ref="A1:J832"/>
  <sheetViews>
    <sheetView workbookViewId="0">
      <selection activeCell="A2" sqref="A2:B2"/>
    </sheetView>
  </sheetViews>
  <sheetFormatPr defaultRowHeight="15" x14ac:dyDescent="0.25"/>
  <cols>
    <col min="1" max="1" width="14.140625" bestFit="1" customWidth="1"/>
    <col min="2" max="2" width="81.140625" bestFit="1" customWidth="1"/>
    <col min="4" max="4" width="55.5703125" customWidth="1"/>
    <col min="6" max="6" width="63.28515625" customWidth="1"/>
    <col min="7" max="7" width="19.7109375" customWidth="1"/>
    <col min="8" max="8" width="52.140625" customWidth="1"/>
    <col min="10" max="10" width="60.140625" customWidth="1"/>
  </cols>
  <sheetData>
    <row r="1" spans="1:10" x14ac:dyDescent="0.25">
      <c r="A1" t="s">
        <v>850</v>
      </c>
      <c r="B1" t="s">
        <v>851</v>
      </c>
      <c r="C1" t="s">
        <v>2334</v>
      </c>
      <c r="D1" t="s">
        <v>2335</v>
      </c>
      <c r="E1" t="s">
        <v>2337</v>
      </c>
      <c r="F1" t="s">
        <v>2338</v>
      </c>
      <c r="G1" t="s">
        <v>2342</v>
      </c>
      <c r="H1" t="s">
        <v>2343</v>
      </c>
      <c r="I1" t="s">
        <v>2344</v>
      </c>
      <c r="J1" t="s">
        <v>2345</v>
      </c>
    </row>
    <row r="2" spans="1:10" x14ac:dyDescent="0.25">
      <c r="A2" t="s">
        <v>852</v>
      </c>
      <c r="B2" t="s">
        <v>853</v>
      </c>
      <c r="C2" t="s">
        <v>2333</v>
      </c>
      <c r="E2" t="str">
        <f>IF(LEN(ISIC_Rev_5_english_structure__1[[#This Row],[Column1]])=2, A2, "")</f>
        <v/>
      </c>
      <c r="F2" t="str">
        <f>_xlfn.XLOOKUP(LEFT(A2,2),SECTOR!$A$2:$A$88,SECTOR!$B$2:$B$88,"")</f>
        <v/>
      </c>
      <c r="G2" t="str">
        <f>_xlfn.XLOOKUP(LEFT(A2,3),INDUSTRY!$A$2:$A$259,INDUSTRY!$A$2:$A$259,"")</f>
        <v/>
      </c>
      <c r="H2" t="str">
        <f>_xlfn.XLOOKUP(LEFT(A2,3),INDUSTRY!$A$2:$A$259,INDUSTRY!$B$2:$B$259,"")</f>
        <v/>
      </c>
      <c r="I2" t="str">
        <f t="shared" ref="I2:I65" si="0">IF(LEN(A2)=4,A2,"")</f>
        <v/>
      </c>
      <c r="J2" t="str">
        <f t="shared" ref="J2:J65" si="1">IF(LEN(A2)=4,B2,"")</f>
        <v/>
      </c>
    </row>
    <row r="3" spans="1:10" x14ac:dyDescent="0.25">
      <c r="A3" t="s">
        <v>854</v>
      </c>
      <c r="B3" t="s">
        <v>855</v>
      </c>
      <c r="C3" t="s">
        <v>854</v>
      </c>
      <c r="D3" t="str">
        <f>_xlfn.XLOOKUP(ISIC_Rev_5_english_structure__1[[#This Row],[Column4]],INDUSTRYGROUP!$C$2:$C$23,INDUSTRYGROUP!$D$2:$D$23,"NONE")</f>
        <v>Agriculture, forestry and fishing</v>
      </c>
      <c r="E3" t="str">
        <f>_xlfn.XLOOKUP(LEFT(A3,2),SECTOR!$A$2:$A$88,SECTOR!$A$2:$A$88,"")</f>
        <v>A</v>
      </c>
      <c r="F3" t="str">
        <f>_xlfn.XLOOKUP(LEFT(A3,2),SECTOR!$A$2:$A$88,SECTOR!$B$2:$B$88,"")</f>
        <v>Agriculture, forestry and fishing</v>
      </c>
      <c r="G3" t="str">
        <f>_xlfn.XLOOKUP(LEFT(A3,3),INDUSTRY!$A$2:$A$259,INDUSTRY!$A$2:$A$259,"")</f>
        <v/>
      </c>
      <c r="H3" t="str">
        <f>_xlfn.XLOOKUP(LEFT(A3,3),INDUSTRY!$A$2:$A$259,INDUSTRY!$B$2:$B$259,"")</f>
        <v/>
      </c>
      <c r="I3" t="str">
        <f t="shared" si="0"/>
        <v/>
      </c>
      <c r="J3" t="str">
        <f t="shared" si="1"/>
        <v/>
      </c>
    </row>
    <row r="4" spans="1:10" x14ac:dyDescent="0.25">
      <c r="A4" t="s">
        <v>856</v>
      </c>
      <c r="B4" t="s">
        <v>857</v>
      </c>
      <c r="C4" t="s">
        <v>854</v>
      </c>
      <c r="D4" t="str">
        <f>_xlfn.XLOOKUP(ISIC_Rev_5_english_structure__1[[#This Row],[Column4]],INDUSTRYGROUP!$C$2:$C$23,INDUSTRYGROUP!$D$2:$D$23,"NONE")</f>
        <v>Agriculture, forestry and fishing</v>
      </c>
      <c r="E4" t="str">
        <f>_xlfn.XLOOKUP(LEFT(A4,2),SECTOR!$A$2:$A$88,SECTOR!$A$2:$A$88,"")</f>
        <v/>
      </c>
      <c r="F4" t="str">
        <f>_xlfn.XLOOKUP(LEFT(A4,2),SECTOR!$A$2:$A$88,SECTOR!$B$2:$B$88,"")</f>
        <v/>
      </c>
      <c r="G4" t="str">
        <f>_xlfn.XLOOKUP(LEFT(A4,3),INDUSTRY!$A$2:$A$259,INDUSTRY!$A$2:$A$259,"")</f>
        <v/>
      </c>
      <c r="H4" t="str">
        <f>_xlfn.XLOOKUP(LEFT(A4,3),INDUSTRY!$A$2:$A$259,INDUSTRY!$B$2:$B$259,"")</f>
        <v/>
      </c>
      <c r="I4" t="str">
        <f t="shared" si="0"/>
        <v/>
      </c>
      <c r="J4" t="str">
        <f t="shared" si="1"/>
        <v/>
      </c>
    </row>
    <row r="5" spans="1:10" x14ac:dyDescent="0.25">
      <c r="A5" t="s">
        <v>858</v>
      </c>
      <c r="B5" t="s">
        <v>859</v>
      </c>
      <c r="C5" t="s">
        <v>854</v>
      </c>
      <c r="D5" t="str">
        <f>_xlfn.XLOOKUP(ISIC_Rev_5_english_structure__1[[#This Row],[Column4]],INDUSTRYGROUP!$C$2:$C$23,INDUSTRYGROUP!$D$2:$D$23,"NONE")</f>
        <v>Agriculture, forestry and fishing</v>
      </c>
      <c r="E5" t="str">
        <f>_xlfn.XLOOKUP(LEFT(A5,2),SECTOR!$A$2:$A$88,SECTOR!$A$2:$A$88,"")</f>
        <v/>
      </c>
      <c r="F5" t="str">
        <f>_xlfn.XLOOKUP(LEFT(A5,2),SECTOR!$A$2:$A$88,SECTOR!$B$2:$B$88,"")</f>
        <v/>
      </c>
      <c r="G5" t="str">
        <f>_xlfn.XLOOKUP(LEFT(A5,3),INDUSTRY!$A$2:$A$259,INDUSTRY!$A$2:$A$259,"")</f>
        <v>011</v>
      </c>
      <c r="H5" t="str">
        <f>_xlfn.XLOOKUP(LEFT(A5,3),INDUSTRY!$A$2:$A$259,INDUSTRY!$B$2:$B$259,"")</f>
        <v>Growing of non-perennial crops</v>
      </c>
      <c r="I5" t="str">
        <f t="shared" si="0"/>
        <v/>
      </c>
      <c r="J5" t="str">
        <f t="shared" si="1"/>
        <v/>
      </c>
    </row>
    <row r="6" spans="1:10" x14ac:dyDescent="0.25">
      <c r="A6" t="s">
        <v>860</v>
      </c>
      <c r="B6" t="s">
        <v>861</v>
      </c>
      <c r="C6" t="s">
        <v>854</v>
      </c>
      <c r="D6" t="str">
        <f>_xlfn.XLOOKUP(ISIC_Rev_5_english_structure__1[[#This Row],[Column4]],INDUSTRYGROUP!$C$2:$C$23,INDUSTRYGROUP!$D$2:$D$23,"NONE")</f>
        <v>Agriculture, forestry and fishing</v>
      </c>
      <c r="E6" t="str">
        <f>_xlfn.XLOOKUP(LEFT(A6,2),SECTOR!$A$2:$A$88,SECTOR!$A$2:$A$88,"")</f>
        <v/>
      </c>
      <c r="F6" t="str">
        <f>_xlfn.XLOOKUP(LEFT(A6,2),SECTOR!$A$2:$A$88,SECTOR!$B$2:$B$88,"")</f>
        <v/>
      </c>
      <c r="G6" t="str">
        <f>_xlfn.XLOOKUP(LEFT(A6,3),INDUSTRY!$A$2:$A$259,INDUSTRY!$A$2:$A$259,"")</f>
        <v>011</v>
      </c>
      <c r="H6" t="str">
        <f>_xlfn.XLOOKUP(LEFT(A6,3),INDUSTRY!$A$2:$A$259,INDUSTRY!$B$2:$B$259,"")</f>
        <v>Growing of non-perennial crops</v>
      </c>
      <c r="I6" t="str">
        <f t="shared" si="0"/>
        <v>0111</v>
      </c>
      <c r="J6" t="str">
        <f t="shared" si="1"/>
        <v>Growing of cereals (except rice), leguminous crops and oil seeds</v>
      </c>
    </row>
    <row r="7" spans="1:10" x14ac:dyDescent="0.25">
      <c r="A7" t="s">
        <v>862</v>
      </c>
      <c r="B7" t="s">
        <v>863</v>
      </c>
      <c r="C7" t="s">
        <v>854</v>
      </c>
      <c r="D7" t="str">
        <f>_xlfn.XLOOKUP(ISIC_Rev_5_english_structure__1[[#This Row],[Column4]],INDUSTRYGROUP!$C$2:$C$23,INDUSTRYGROUP!$D$2:$D$23,"NONE")</f>
        <v>Agriculture, forestry and fishing</v>
      </c>
      <c r="E7" t="str">
        <f>_xlfn.XLOOKUP(LEFT(A7,2),SECTOR!$A$2:$A$88,SECTOR!$A$2:$A$88,"")</f>
        <v/>
      </c>
      <c r="F7" t="str">
        <f>_xlfn.XLOOKUP(LEFT(A7,2),SECTOR!$A$2:$A$88,SECTOR!$B$2:$B$88,"")</f>
        <v/>
      </c>
      <c r="G7" t="str">
        <f>_xlfn.XLOOKUP(LEFT(A7,3),INDUSTRY!$A$2:$A$259,INDUSTRY!$A$2:$A$259,"")</f>
        <v>011</v>
      </c>
      <c r="H7" t="str">
        <f>_xlfn.XLOOKUP(LEFT(A7,3),INDUSTRY!$A$2:$A$259,INDUSTRY!$B$2:$B$259,"")</f>
        <v>Growing of non-perennial crops</v>
      </c>
      <c r="I7" t="str">
        <f t="shared" si="0"/>
        <v>0112</v>
      </c>
      <c r="J7" t="str">
        <f t="shared" si="1"/>
        <v>Growing of rice</v>
      </c>
    </row>
    <row r="8" spans="1:10" x14ac:dyDescent="0.25">
      <c r="A8" t="s">
        <v>864</v>
      </c>
      <c r="B8" t="s">
        <v>865</v>
      </c>
      <c r="C8" t="s">
        <v>854</v>
      </c>
      <c r="D8" t="str">
        <f>_xlfn.XLOOKUP(ISIC_Rev_5_english_structure__1[[#This Row],[Column4]],INDUSTRYGROUP!$C$2:$C$23,INDUSTRYGROUP!$D$2:$D$23,"NONE")</f>
        <v>Agriculture, forestry and fishing</v>
      </c>
      <c r="E8" t="str">
        <f>_xlfn.XLOOKUP(LEFT(A8,2),SECTOR!$A$2:$A$88,SECTOR!$A$2:$A$88,"")</f>
        <v/>
      </c>
      <c r="F8" t="str">
        <f>_xlfn.XLOOKUP(LEFT(A8,2),SECTOR!$A$2:$A$88,SECTOR!$B$2:$B$88,"")</f>
        <v/>
      </c>
      <c r="G8" t="str">
        <f>_xlfn.XLOOKUP(LEFT(A8,3),INDUSTRY!$A$2:$A$259,INDUSTRY!$A$2:$A$259,"")</f>
        <v>011</v>
      </c>
      <c r="H8" t="str">
        <f>_xlfn.XLOOKUP(LEFT(A8,3),INDUSTRY!$A$2:$A$259,INDUSTRY!$B$2:$B$259,"")</f>
        <v>Growing of non-perennial crops</v>
      </c>
      <c r="I8" t="str">
        <f t="shared" si="0"/>
        <v>0113</v>
      </c>
      <c r="J8" t="str">
        <f t="shared" si="1"/>
        <v>Growing of vegetables and melons, roots and tubers</v>
      </c>
    </row>
    <row r="9" spans="1:10" x14ac:dyDescent="0.25">
      <c r="A9" t="s">
        <v>866</v>
      </c>
      <c r="B9" t="s">
        <v>867</v>
      </c>
      <c r="C9" t="s">
        <v>854</v>
      </c>
      <c r="D9" t="str">
        <f>_xlfn.XLOOKUP(ISIC_Rev_5_english_structure__1[[#This Row],[Column4]],INDUSTRYGROUP!$C$2:$C$23,INDUSTRYGROUP!$D$2:$D$23,"NONE")</f>
        <v>Agriculture, forestry and fishing</v>
      </c>
      <c r="E9" t="str">
        <f>_xlfn.XLOOKUP(LEFT(A9,2),SECTOR!$A$2:$A$88,SECTOR!$A$2:$A$88,"")</f>
        <v/>
      </c>
      <c r="F9" t="str">
        <f>_xlfn.XLOOKUP(LEFT(A9,2),SECTOR!$A$2:$A$88,SECTOR!$B$2:$B$88,"")</f>
        <v/>
      </c>
      <c r="G9" t="str">
        <f>_xlfn.XLOOKUP(LEFT(A9,3),INDUSTRY!$A$2:$A$259,INDUSTRY!$A$2:$A$259,"")</f>
        <v>011</v>
      </c>
      <c r="H9" t="str">
        <f>_xlfn.XLOOKUP(LEFT(A9,3),INDUSTRY!$A$2:$A$259,INDUSTRY!$B$2:$B$259,"")</f>
        <v>Growing of non-perennial crops</v>
      </c>
      <c r="I9" t="str">
        <f t="shared" si="0"/>
        <v>0114</v>
      </c>
      <c r="J9" t="str">
        <f t="shared" si="1"/>
        <v>Growing of sugar cane</v>
      </c>
    </row>
    <row r="10" spans="1:10" x14ac:dyDescent="0.25">
      <c r="A10" t="s">
        <v>868</v>
      </c>
      <c r="B10" t="s">
        <v>869</v>
      </c>
      <c r="C10" t="s">
        <v>854</v>
      </c>
      <c r="D10" t="str">
        <f>_xlfn.XLOOKUP(ISIC_Rev_5_english_structure__1[[#This Row],[Column4]],INDUSTRYGROUP!$C$2:$C$23,INDUSTRYGROUP!$D$2:$D$23,"NONE")</f>
        <v>Agriculture, forestry and fishing</v>
      </c>
      <c r="E10" t="str">
        <f>_xlfn.XLOOKUP(LEFT(A10,2),SECTOR!$A$2:$A$88,SECTOR!$A$2:$A$88,"")</f>
        <v/>
      </c>
      <c r="F10" t="str">
        <f>_xlfn.XLOOKUP(LEFT(A10,2),SECTOR!$A$2:$A$88,SECTOR!$B$2:$B$88,"")</f>
        <v/>
      </c>
      <c r="G10" t="str">
        <f>_xlfn.XLOOKUP(LEFT(A10,3),INDUSTRY!$A$2:$A$259,INDUSTRY!$A$2:$A$259,"")</f>
        <v>011</v>
      </c>
      <c r="H10" t="str">
        <f>_xlfn.XLOOKUP(LEFT(A10,3),INDUSTRY!$A$2:$A$259,INDUSTRY!$B$2:$B$259,"")</f>
        <v>Growing of non-perennial crops</v>
      </c>
      <c r="I10" t="str">
        <f t="shared" si="0"/>
        <v>0115</v>
      </c>
      <c r="J10" t="str">
        <f t="shared" si="1"/>
        <v>Growing of tobacco</v>
      </c>
    </row>
    <row r="11" spans="1:10" x14ac:dyDescent="0.25">
      <c r="A11" t="s">
        <v>870</v>
      </c>
      <c r="B11" t="s">
        <v>871</v>
      </c>
      <c r="C11" t="s">
        <v>854</v>
      </c>
      <c r="D11" t="str">
        <f>_xlfn.XLOOKUP(ISIC_Rev_5_english_structure__1[[#This Row],[Column4]],INDUSTRYGROUP!$C$2:$C$23,INDUSTRYGROUP!$D$2:$D$23,"NONE")</f>
        <v>Agriculture, forestry and fishing</v>
      </c>
      <c r="E11" t="str">
        <f>_xlfn.XLOOKUP(LEFT(A11,2),SECTOR!$A$2:$A$88,SECTOR!$A$2:$A$88,"")</f>
        <v/>
      </c>
      <c r="F11" t="str">
        <f>_xlfn.XLOOKUP(LEFT(A11,2),SECTOR!$A$2:$A$88,SECTOR!$B$2:$B$88,"")</f>
        <v/>
      </c>
      <c r="G11" t="str">
        <f>_xlfn.XLOOKUP(LEFT(A11,3),INDUSTRY!$A$2:$A$259,INDUSTRY!$A$2:$A$259,"")</f>
        <v>011</v>
      </c>
      <c r="H11" t="str">
        <f>_xlfn.XLOOKUP(LEFT(A11,3),INDUSTRY!$A$2:$A$259,INDUSTRY!$B$2:$B$259,"")</f>
        <v>Growing of non-perennial crops</v>
      </c>
      <c r="I11" t="str">
        <f t="shared" si="0"/>
        <v>0116</v>
      </c>
      <c r="J11" t="str">
        <f t="shared" si="1"/>
        <v>Growing of fibre crops</v>
      </c>
    </row>
    <row r="12" spans="1:10" x14ac:dyDescent="0.25">
      <c r="A12" t="s">
        <v>872</v>
      </c>
      <c r="B12" t="s">
        <v>873</v>
      </c>
      <c r="C12" t="s">
        <v>854</v>
      </c>
      <c r="D12" t="str">
        <f>_xlfn.XLOOKUP(ISIC_Rev_5_english_structure__1[[#This Row],[Column4]],INDUSTRYGROUP!$C$2:$C$23,INDUSTRYGROUP!$D$2:$D$23,"NONE")</f>
        <v>Agriculture, forestry and fishing</v>
      </c>
      <c r="E12" t="str">
        <f>_xlfn.XLOOKUP(LEFT(A12,2),SECTOR!$A$2:$A$88,SECTOR!$A$2:$A$88,"")</f>
        <v/>
      </c>
      <c r="F12" t="str">
        <f>_xlfn.XLOOKUP(LEFT(A12,2),SECTOR!$A$2:$A$88,SECTOR!$B$2:$B$88,"")</f>
        <v/>
      </c>
      <c r="G12" t="str">
        <f>_xlfn.XLOOKUP(LEFT(A12,3),INDUSTRY!$A$2:$A$259,INDUSTRY!$A$2:$A$259,"")</f>
        <v>011</v>
      </c>
      <c r="H12" t="str">
        <f>_xlfn.XLOOKUP(LEFT(A12,3),INDUSTRY!$A$2:$A$259,INDUSTRY!$B$2:$B$259,"")</f>
        <v>Growing of non-perennial crops</v>
      </c>
      <c r="I12" t="str">
        <f t="shared" si="0"/>
        <v>0119</v>
      </c>
      <c r="J12" t="str">
        <f t="shared" si="1"/>
        <v>Growing of other non-perennial crops</v>
      </c>
    </row>
    <row r="13" spans="1:10" x14ac:dyDescent="0.25">
      <c r="A13" t="s">
        <v>874</v>
      </c>
      <c r="B13" t="s">
        <v>875</v>
      </c>
      <c r="C13" t="s">
        <v>854</v>
      </c>
      <c r="D13" t="str">
        <f>_xlfn.XLOOKUP(ISIC_Rev_5_english_structure__1[[#This Row],[Column4]],INDUSTRYGROUP!$C$2:$C$23,INDUSTRYGROUP!$D$2:$D$23,"NONE")</f>
        <v>Agriculture, forestry and fishing</v>
      </c>
      <c r="E13" t="str">
        <f>_xlfn.XLOOKUP(LEFT(A13,2),SECTOR!$A$2:$A$88,SECTOR!$A$2:$A$88,"")</f>
        <v/>
      </c>
      <c r="F13" t="str">
        <f>_xlfn.XLOOKUP(LEFT(A13,2),SECTOR!$A$2:$A$88,SECTOR!$B$2:$B$88,"")</f>
        <v/>
      </c>
      <c r="G13" t="str">
        <f>_xlfn.XLOOKUP(LEFT(A13,3),INDUSTRY!$A$2:$A$259,INDUSTRY!$A$2:$A$259,"")</f>
        <v>012</v>
      </c>
      <c r="H13" t="str">
        <f>_xlfn.XLOOKUP(LEFT(A13,3),INDUSTRY!$A$2:$A$259,INDUSTRY!$B$2:$B$259,"")</f>
        <v>Growing of perennial crops</v>
      </c>
      <c r="I13" t="str">
        <f t="shared" si="0"/>
        <v/>
      </c>
      <c r="J13" t="str">
        <f t="shared" si="1"/>
        <v/>
      </c>
    </row>
    <row r="14" spans="1:10" x14ac:dyDescent="0.25">
      <c r="A14" t="s">
        <v>876</v>
      </c>
      <c r="B14" t="s">
        <v>877</v>
      </c>
      <c r="C14" t="s">
        <v>854</v>
      </c>
      <c r="D14" t="str">
        <f>_xlfn.XLOOKUP(ISIC_Rev_5_english_structure__1[[#This Row],[Column4]],INDUSTRYGROUP!$C$2:$C$23,INDUSTRYGROUP!$D$2:$D$23,"NONE")</f>
        <v>Agriculture, forestry and fishing</v>
      </c>
      <c r="E14" t="str">
        <f>_xlfn.XLOOKUP(LEFT(A14,2),SECTOR!$A$2:$A$88,SECTOR!$A$2:$A$88,"")</f>
        <v/>
      </c>
      <c r="F14" t="str">
        <f>_xlfn.XLOOKUP(LEFT(A14,2),SECTOR!$A$2:$A$88,SECTOR!$B$2:$B$88,"")</f>
        <v/>
      </c>
      <c r="G14" t="str">
        <f>_xlfn.XLOOKUP(LEFT(A14,3),INDUSTRY!$A$2:$A$259,INDUSTRY!$A$2:$A$259,"")</f>
        <v>012</v>
      </c>
      <c r="H14" t="str">
        <f>_xlfn.XLOOKUP(LEFT(A14,3),INDUSTRY!$A$2:$A$259,INDUSTRY!$B$2:$B$259,"")</f>
        <v>Growing of perennial crops</v>
      </c>
      <c r="I14" t="str">
        <f t="shared" si="0"/>
        <v>0121</v>
      </c>
      <c r="J14" t="str">
        <f t="shared" si="1"/>
        <v>Growing of grapes</v>
      </c>
    </row>
    <row r="15" spans="1:10" x14ac:dyDescent="0.25">
      <c r="A15" t="s">
        <v>878</v>
      </c>
      <c r="B15" t="s">
        <v>879</v>
      </c>
      <c r="C15" t="s">
        <v>854</v>
      </c>
      <c r="D15" t="str">
        <f>_xlfn.XLOOKUP(ISIC_Rev_5_english_structure__1[[#This Row],[Column4]],INDUSTRYGROUP!$C$2:$C$23,INDUSTRYGROUP!$D$2:$D$23,"NONE")</f>
        <v>Agriculture, forestry and fishing</v>
      </c>
      <c r="E15" t="str">
        <f>_xlfn.XLOOKUP(LEFT(A15,2),SECTOR!$A$2:$A$88,SECTOR!$A$2:$A$88,"")</f>
        <v/>
      </c>
      <c r="F15" t="str">
        <f>_xlfn.XLOOKUP(LEFT(A15,2),SECTOR!$A$2:$A$88,SECTOR!$B$2:$B$88,"")</f>
        <v/>
      </c>
      <c r="G15" t="str">
        <f>_xlfn.XLOOKUP(LEFT(A15,3),INDUSTRY!$A$2:$A$259,INDUSTRY!$A$2:$A$259,"")</f>
        <v>012</v>
      </c>
      <c r="H15" t="str">
        <f>_xlfn.XLOOKUP(LEFT(A15,3),INDUSTRY!$A$2:$A$259,INDUSTRY!$B$2:$B$259,"")</f>
        <v>Growing of perennial crops</v>
      </c>
      <c r="I15" t="str">
        <f t="shared" si="0"/>
        <v>0122</v>
      </c>
      <c r="J15" t="str">
        <f t="shared" si="1"/>
        <v>Growing of tropical and subtropical fruits</v>
      </c>
    </row>
    <row r="16" spans="1:10" x14ac:dyDescent="0.25">
      <c r="A16" t="s">
        <v>880</v>
      </c>
      <c r="B16" t="s">
        <v>881</v>
      </c>
      <c r="C16" t="s">
        <v>854</v>
      </c>
      <c r="D16" t="str">
        <f>_xlfn.XLOOKUP(ISIC_Rev_5_english_structure__1[[#This Row],[Column4]],INDUSTRYGROUP!$C$2:$C$23,INDUSTRYGROUP!$D$2:$D$23,"NONE")</f>
        <v>Agriculture, forestry and fishing</v>
      </c>
      <c r="E16" t="str">
        <f>_xlfn.XLOOKUP(LEFT(A16,2),SECTOR!$A$2:$A$88,SECTOR!$A$2:$A$88,"")</f>
        <v/>
      </c>
      <c r="F16" t="str">
        <f>_xlfn.XLOOKUP(LEFT(A16,2),SECTOR!$A$2:$A$88,SECTOR!$B$2:$B$88,"")</f>
        <v/>
      </c>
      <c r="G16" t="str">
        <f>_xlfn.XLOOKUP(LEFT(A16,3),INDUSTRY!$A$2:$A$259,INDUSTRY!$A$2:$A$259,"")</f>
        <v>012</v>
      </c>
      <c r="H16" t="str">
        <f>_xlfn.XLOOKUP(LEFT(A16,3),INDUSTRY!$A$2:$A$259,INDUSTRY!$B$2:$B$259,"")</f>
        <v>Growing of perennial crops</v>
      </c>
      <c r="I16" t="str">
        <f t="shared" si="0"/>
        <v>0123</v>
      </c>
      <c r="J16" t="str">
        <f t="shared" si="1"/>
        <v>Growing of citrus fruits</v>
      </c>
    </row>
    <row r="17" spans="1:10" x14ac:dyDescent="0.25">
      <c r="A17" t="s">
        <v>882</v>
      </c>
      <c r="B17" t="s">
        <v>883</v>
      </c>
      <c r="C17" t="s">
        <v>854</v>
      </c>
      <c r="D17" t="str">
        <f>_xlfn.XLOOKUP(ISIC_Rev_5_english_structure__1[[#This Row],[Column4]],INDUSTRYGROUP!$C$2:$C$23,INDUSTRYGROUP!$D$2:$D$23,"NONE")</f>
        <v>Agriculture, forestry and fishing</v>
      </c>
      <c r="E17" t="str">
        <f>_xlfn.XLOOKUP(LEFT(A17,2),SECTOR!$A$2:$A$88,SECTOR!$A$2:$A$88,"")</f>
        <v/>
      </c>
      <c r="F17" t="str">
        <f>_xlfn.XLOOKUP(LEFT(A17,2),SECTOR!$A$2:$A$88,SECTOR!$B$2:$B$88,"")</f>
        <v/>
      </c>
      <c r="G17" t="str">
        <f>_xlfn.XLOOKUP(LEFT(A17,3),INDUSTRY!$A$2:$A$259,INDUSTRY!$A$2:$A$259,"")</f>
        <v>012</v>
      </c>
      <c r="H17" t="str">
        <f>_xlfn.XLOOKUP(LEFT(A17,3),INDUSTRY!$A$2:$A$259,INDUSTRY!$B$2:$B$259,"")</f>
        <v>Growing of perennial crops</v>
      </c>
      <c r="I17" t="str">
        <f t="shared" si="0"/>
        <v>0124</v>
      </c>
      <c r="J17" t="str">
        <f t="shared" si="1"/>
        <v>Growing of pome fruits and stone fruits</v>
      </c>
    </row>
    <row r="18" spans="1:10" x14ac:dyDescent="0.25">
      <c r="A18" t="s">
        <v>884</v>
      </c>
      <c r="B18" t="s">
        <v>885</v>
      </c>
      <c r="C18" t="s">
        <v>854</v>
      </c>
      <c r="D18" t="str">
        <f>_xlfn.XLOOKUP(ISIC_Rev_5_english_structure__1[[#This Row],[Column4]],INDUSTRYGROUP!$C$2:$C$23,INDUSTRYGROUP!$D$2:$D$23,"NONE")</f>
        <v>Agriculture, forestry and fishing</v>
      </c>
      <c r="E18" t="str">
        <f>_xlfn.XLOOKUP(LEFT(A18,2),SECTOR!$A$2:$A$88,SECTOR!$A$2:$A$88,"")</f>
        <v/>
      </c>
      <c r="F18" t="str">
        <f>_xlfn.XLOOKUP(LEFT(A18,2),SECTOR!$A$2:$A$88,SECTOR!$B$2:$B$88,"")</f>
        <v/>
      </c>
      <c r="G18" t="str">
        <f>_xlfn.XLOOKUP(LEFT(A18,3),INDUSTRY!$A$2:$A$259,INDUSTRY!$A$2:$A$259,"")</f>
        <v>012</v>
      </c>
      <c r="H18" t="str">
        <f>_xlfn.XLOOKUP(LEFT(A18,3),INDUSTRY!$A$2:$A$259,INDUSTRY!$B$2:$B$259,"")</f>
        <v>Growing of perennial crops</v>
      </c>
      <c r="I18" t="str">
        <f t="shared" si="0"/>
        <v>0125</v>
      </c>
      <c r="J18" t="str">
        <f t="shared" si="1"/>
        <v>Growing of other tree and bush fruits and nuts</v>
      </c>
    </row>
    <row r="19" spans="1:10" x14ac:dyDescent="0.25">
      <c r="A19" t="s">
        <v>886</v>
      </c>
      <c r="B19" t="s">
        <v>887</v>
      </c>
      <c r="C19" t="s">
        <v>854</v>
      </c>
      <c r="D19" t="str">
        <f>_xlfn.XLOOKUP(ISIC_Rev_5_english_structure__1[[#This Row],[Column4]],INDUSTRYGROUP!$C$2:$C$23,INDUSTRYGROUP!$D$2:$D$23,"NONE")</f>
        <v>Agriculture, forestry and fishing</v>
      </c>
      <c r="E19" t="str">
        <f>_xlfn.XLOOKUP(LEFT(A19,2),SECTOR!$A$2:$A$88,SECTOR!$A$2:$A$88,"")</f>
        <v/>
      </c>
      <c r="F19" t="str">
        <f>_xlfn.XLOOKUP(LEFT(A19,2),SECTOR!$A$2:$A$88,SECTOR!$B$2:$B$88,"")</f>
        <v/>
      </c>
      <c r="G19" t="str">
        <f>_xlfn.XLOOKUP(LEFT(A19,3),INDUSTRY!$A$2:$A$259,INDUSTRY!$A$2:$A$259,"")</f>
        <v>012</v>
      </c>
      <c r="H19" t="str">
        <f>_xlfn.XLOOKUP(LEFT(A19,3),INDUSTRY!$A$2:$A$259,INDUSTRY!$B$2:$B$259,"")</f>
        <v>Growing of perennial crops</v>
      </c>
      <c r="I19" t="str">
        <f t="shared" si="0"/>
        <v>0126</v>
      </c>
      <c r="J19" t="str">
        <f t="shared" si="1"/>
        <v>Growing of oleaginous fruits</v>
      </c>
    </row>
    <row r="20" spans="1:10" x14ac:dyDescent="0.25">
      <c r="A20" t="s">
        <v>888</v>
      </c>
      <c r="B20" t="s">
        <v>889</v>
      </c>
      <c r="C20" t="s">
        <v>854</v>
      </c>
      <c r="D20" t="str">
        <f>_xlfn.XLOOKUP(ISIC_Rev_5_english_structure__1[[#This Row],[Column4]],INDUSTRYGROUP!$C$2:$C$23,INDUSTRYGROUP!$D$2:$D$23,"NONE")</f>
        <v>Agriculture, forestry and fishing</v>
      </c>
      <c r="E20" t="str">
        <f>_xlfn.XLOOKUP(LEFT(A20,2),SECTOR!$A$2:$A$88,SECTOR!$A$2:$A$88,"")</f>
        <v/>
      </c>
      <c r="F20" t="str">
        <f>_xlfn.XLOOKUP(LEFT(A20,2),SECTOR!$A$2:$A$88,SECTOR!$B$2:$B$88,"")</f>
        <v/>
      </c>
      <c r="G20" t="str">
        <f>_xlfn.XLOOKUP(LEFT(A20,3),INDUSTRY!$A$2:$A$259,INDUSTRY!$A$2:$A$259,"")</f>
        <v>012</v>
      </c>
      <c r="H20" t="str">
        <f>_xlfn.XLOOKUP(LEFT(A20,3),INDUSTRY!$A$2:$A$259,INDUSTRY!$B$2:$B$259,"")</f>
        <v>Growing of perennial crops</v>
      </c>
      <c r="I20" t="str">
        <f t="shared" si="0"/>
        <v>0127</v>
      </c>
      <c r="J20" t="str">
        <f t="shared" si="1"/>
        <v>Growing of beverage crops</v>
      </c>
    </row>
    <row r="21" spans="1:10" x14ac:dyDescent="0.25">
      <c r="A21" t="s">
        <v>890</v>
      </c>
      <c r="B21" t="s">
        <v>891</v>
      </c>
      <c r="C21" t="s">
        <v>854</v>
      </c>
      <c r="D21" t="str">
        <f>_xlfn.XLOOKUP(ISIC_Rev_5_english_structure__1[[#This Row],[Column4]],INDUSTRYGROUP!$C$2:$C$23,INDUSTRYGROUP!$D$2:$D$23,"NONE")</f>
        <v>Agriculture, forestry and fishing</v>
      </c>
      <c r="E21" t="str">
        <f>_xlfn.XLOOKUP(LEFT(A21,2),SECTOR!$A$2:$A$88,SECTOR!$A$2:$A$88,"")</f>
        <v/>
      </c>
      <c r="F21" t="str">
        <f>_xlfn.XLOOKUP(LEFT(A21,2),SECTOR!$A$2:$A$88,SECTOR!$B$2:$B$88,"")</f>
        <v/>
      </c>
      <c r="G21" t="str">
        <f>_xlfn.XLOOKUP(LEFT(A21,3),INDUSTRY!$A$2:$A$259,INDUSTRY!$A$2:$A$259,"")</f>
        <v>012</v>
      </c>
      <c r="H21" t="str">
        <f>_xlfn.XLOOKUP(LEFT(A21,3),INDUSTRY!$A$2:$A$259,INDUSTRY!$B$2:$B$259,"")</f>
        <v>Growing of perennial crops</v>
      </c>
      <c r="I21" t="str">
        <f t="shared" si="0"/>
        <v>0128</v>
      </c>
      <c r="J21" t="str">
        <f t="shared" si="1"/>
        <v>Growing of spices, aromatic, drug and pharmaceutical crops</v>
      </c>
    </row>
    <row r="22" spans="1:10" x14ac:dyDescent="0.25">
      <c r="A22" t="s">
        <v>892</v>
      </c>
      <c r="B22" t="s">
        <v>893</v>
      </c>
      <c r="C22" t="s">
        <v>854</v>
      </c>
      <c r="D22" t="str">
        <f>_xlfn.XLOOKUP(ISIC_Rev_5_english_structure__1[[#This Row],[Column4]],INDUSTRYGROUP!$C$2:$C$23,INDUSTRYGROUP!$D$2:$D$23,"NONE")</f>
        <v>Agriculture, forestry and fishing</v>
      </c>
      <c r="E22" t="str">
        <f>_xlfn.XLOOKUP(LEFT(A22,2),SECTOR!$A$2:$A$88,SECTOR!$A$2:$A$88,"")</f>
        <v/>
      </c>
      <c r="F22" t="str">
        <f>_xlfn.XLOOKUP(LEFT(A22,2),SECTOR!$A$2:$A$88,SECTOR!$B$2:$B$88,"")</f>
        <v/>
      </c>
      <c r="G22" t="str">
        <f>_xlfn.XLOOKUP(LEFT(A22,3),INDUSTRY!$A$2:$A$259,INDUSTRY!$A$2:$A$259,"")</f>
        <v>012</v>
      </c>
      <c r="H22" t="str">
        <f>_xlfn.XLOOKUP(LEFT(A22,3),INDUSTRY!$A$2:$A$259,INDUSTRY!$B$2:$B$259,"")</f>
        <v>Growing of perennial crops</v>
      </c>
      <c r="I22" t="str">
        <f t="shared" si="0"/>
        <v>0129</v>
      </c>
      <c r="J22" t="str">
        <f t="shared" si="1"/>
        <v>Growing of other perennial crops</v>
      </c>
    </row>
    <row r="23" spans="1:10" x14ac:dyDescent="0.25">
      <c r="A23" t="s">
        <v>894</v>
      </c>
      <c r="B23" t="s">
        <v>895</v>
      </c>
      <c r="C23" t="s">
        <v>854</v>
      </c>
      <c r="D23" t="str">
        <f>_xlfn.XLOOKUP(ISIC_Rev_5_english_structure__1[[#This Row],[Column4]],INDUSTRYGROUP!$C$2:$C$23,INDUSTRYGROUP!$D$2:$D$23,"NONE")</f>
        <v>Agriculture, forestry and fishing</v>
      </c>
      <c r="E23" t="str">
        <f>_xlfn.XLOOKUP(LEFT(A23,2),SECTOR!$A$2:$A$88,SECTOR!$A$2:$A$88,"")</f>
        <v/>
      </c>
      <c r="F23" t="str">
        <f>_xlfn.XLOOKUP(LEFT(A23,2),SECTOR!$A$2:$A$88,SECTOR!$B$2:$B$88,"")</f>
        <v/>
      </c>
      <c r="G23" t="str">
        <f>_xlfn.XLOOKUP(LEFT(A23,3),INDUSTRY!$A$2:$A$259,INDUSTRY!$A$2:$A$259,"")</f>
        <v>013</v>
      </c>
      <c r="H23" t="str">
        <f>_xlfn.XLOOKUP(LEFT(A23,3),INDUSTRY!$A$2:$A$259,INDUSTRY!$B$2:$B$259,"")</f>
        <v>Plant propagation</v>
      </c>
      <c r="I23" t="str">
        <f t="shared" si="0"/>
        <v/>
      </c>
      <c r="J23" t="str">
        <f t="shared" si="1"/>
        <v/>
      </c>
    </row>
    <row r="24" spans="1:10" x14ac:dyDescent="0.25">
      <c r="A24" t="s">
        <v>896</v>
      </c>
      <c r="B24" t="s">
        <v>895</v>
      </c>
      <c r="C24" t="s">
        <v>854</v>
      </c>
      <c r="D24" t="str">
        <f>_xlfn.XLOOKUP(ISIC_Rev_5_english_structure__1[[#This Row],[Column4]],INDUSTRYGROUP!$C$2:$C$23,INDUSTRYGROUP!$D$2:$D$23,"NONE")</f>
        <v>Agriculture, forestry and fishing</v>
      </c>
      <c r="E24" t="str">
        <f>_xlfn.XLOOKUP(LEFT(A24,2),SECTOR!$A$2:$A$88,SECTOR!$A$2:$A$88,"")</f>
        <v/>
      </c>
      <c r="F24" t="str">
        <f>_xlfn.XLOOKUP(LEFT(A24,2),SECTOR!$A$2:$A$88,SECTOR!$B$2:$B$88,"")</f>
        <v/>
      </c>
      <c r="G24" t="str">
        <f>_xlfn.XLOOKUP(LEFT(A24,3),INDUSTRY!$A$2:$A$259,INDUSTRY!$A$2:$A$259,"")</f>
        <v>013</v>
      </c>
      <c r="H24" t="str">
        <f>_xlfn.XLOOKUP(LEFT(A24,3),INDUSTRY!$A$2:$A$259,INDUSTRY!$B$2:$B$259,"")</f>
        <v>Plant propagation</v>
      </c>
      <c r="I24" t="str">
        <f t="shared" si="0"/>
        <v>0130</v>
      </c>
      <c r="J24" t="str">
        <f t="shared" si="1"/>
        <v>Plant propagation</v>
      </c>
    </row>
    <row r="25" spans="1:10" x14ac:dyDescent="0.25">
      <c r="A25" t="s">
        <v>897</v>
      </c>
      <c r="B25" t="s">
        <v>898</v>
      </c>
      <c r="C25" t="s">
        <v>854</v>
      </c>
      <c r="D25" t="str">
        <f>_xlfn.XLOOKUP(ISIC_Rev_5_english_structure__1[[#This Row],[Column4]],INDUSTRYGROUP!$C$2:$C$23,INDUSTRYGROUP!$D$2:$D$23,"NONE")</f>
        <v>Agriculture, forestry and fishing</v>
      </c>
      <c r="E25" t="str">
        <f>_xlfn.XLOOKUP(LEFT(A25,2),SECTOR!$A$2:$A$88,SECTOR!$A$2:$A$88,"")</f>
        <v/>
      </c>
      <c r="F25" t="str">
        <f>_xlfn.XLOOKUP(LEFT(A25,2),SECTOR!$A$2:$A$88,SECTOR!$B$2:$B$88,"")</f>
        <v/>
      </c>
      <c r="G25" t="str">
        <f>_xlfn.XLOOKUP(LEFT(A25,3),INDUSTRY!$A$2:$A$259,INDUSTRY!$A$2:$A$259,"")</f>
        <v>014</v>
      </c>
      <c r="H25" t="str">
        <f>_xlfn.XLOOKUP(LEFT(A25,3),INDUSTRY!$A$2:$A$259,INDUSTRY!$B$2:$B$259,"")</f>
        <v>Animal production</v>
      </c>
      <c r="I25" t="str">
        <f t="shared" si="0"/>
        <v/>
      </c>
      <c r="J25" t="str">
        <f t="shared" si="1"/>
        <v/>
      </c>
    </row>
    <row r="26" spans="1:10" x14ac:dyDescent="0.25">
      <c r="A26" t="s">
        <v>899</v>
      </c>
      <c r="B26" t="s">
        <v>900</v>
      </c>
      <c r="C26" t="s">
        <v>854</v>
      </c>
      <c r="D26" t="str">
        <f>_xlfn.XLOOKUP(ISIC_Rev_5_english_structure__1[[#This Row],[Column4]],INDUSTRYGROUP!$C$2:$C$23,INDUSTRYGROUP!$D$2:$D$23,"NONE")</f>
        <v>Agriculture, forestry and fishing</v>
      </c>
      <c r="E26" t="str">
        <f>_xlfn.XLOOKUP(LEFT(A26,2),SECTOR!$A$2:$A$88,SECTOR!$A$2:$A$88,"")</f>
        <v/>
      </c>
      <c r="F26" t="str">
        <f>_xlfn.XLOOKUP(LEFT(A26,2),SECTOR!$A$2:$A$88,SECTOR!$B$2:$B$88,"")</f>
        <v/>
      </c>
      <c r="G26" t="str">
        <f>_xlfn.XLOOKUP(LEFT(A26,3),INDUSTRY!$A$2:$A$259,INDUSTRY!$A$2:$A$259,"")</f>
        <v>014</v>
      </c>
      <c r="H26" t="str">
        <f>_xlfn.XLOOKUP(LEFT(A26,3),INDUSTRY!$A$2:$A$259,INDUSTRY!$B$2:$B$259,"")</f>
        <v>Animal production</v>
      </c>
      <c r="I26" t="str">
        <f t="shared" si="0"/>
        <v>0141</v>
      </c>
      <c r="J26" t="str">
        <f t="shared" si="1"/>
        <v>Raising of cattle and buffaloes</v>
      </c>
    </row>
    <row r="27" spans="1:10" x14ac:dyDescent="0.25">
      <c r="A27" t="s">
        <v>901</v>
      </c>
      <c r="B27" t="s">
        <v>902</v>
      </c>
      <c r="C27" t="s">
        <v>854</v>
      </c>
      <c r="D27" t="str">
        <f>_xlfn.XLOOKUP(ISIC_Rev_5_english_structure__1[[#This Row],[Column4]],INDUSTRYGROUP!$C$2:$C$23,INDUSTRYGROUP!$D$2:$D$23,"NONE")</f>
        <v>Agriculture, forestry and fishing</v>
      </c>
      <c r="E27" t="str">
        <f>_xlfn.XLOOKUP(LEFT(A27,2),SECTOR!$A$2:$A$88,SECTOR!$A$2:$A$88,"")</f>
        <v/>
      </c>
      <c r="F27" t="str">
        <f>_xlfn.XLOOKUP(LEFT(A27,2),SECTOR!$A$2:$A$88,SECTOR!$B$2:$B$88,"")</f>
        <v/>
      </c>
      <c r="G27" t="str">
        <f>_xlfn.XLOOKUP(LEFT(A27,3),INDUSTRY!$A$2:$A$259,INDUSTRY!$A$2:$A$259,"")</f>
        <v>014</v>
      </c>
      <c r="H27" t="str">
        <f>_xlfn.XLOOKUP(LEFT(A27,3),INDUSTRY!$A$2:$A$259,INDUSTRY!$B$2:$B$259,"")</f>
        <v>Animal production</v>
      </c>
      <c r="I27" t="str">
        <f t="shared" si="0"/>
        <v>0142</v>
      </c>
      <c r="J27" t="str">
        <f t="shared" si="1"/>
        <v>Raising of horses and other equines</v>
      </c>
    </row>
    <row r="28" spans="1:10" x14ac:dyDescent="0.25">
      <c r="A28" t="s">
        <v>903</v>
      </c>
      <c r="B28" t="s">
        <v>904</v>
      </c>
      <c r="C28" t="s">
        <v>854</v>
      </c>
      <c r="D28" t="str">
        <f>_xlfn.XLOOKUP(ISIC_Rev_5_english_structure__1[[#This Row],[Column4]],INDUSTRYGROUP!$C$2:$C$23,INDUSTRYGROUP!$D$2:$D$23,"NONE")</f>
        <v>Agriculture, forestry and fishing</v>
      </c>
      <c r="E28" t="str">
        <f>_xlfn.XLOOKUP(LEFT(A28,2),SECTOR!$A$2:$A$88,SECTOR!$A$2:$A$88,"")</f>
        <v/>
      </c>
      <c r="F28" t="str">
        <f>_xlfn.XLOOKUP(LEFT(A28,2),SECTOR!$A$2:$A$88,SECTOR!$B$2:$B$88,"")</f>
        <v/>
      </c>
      <c r="G28" t="str">
        <f>_xlfn.XLOOKUP(LEFT(A28,3),INDUSTRY!$A$2:$A$259,INDUSTRY!$A$2:$A$259,"")</f>
        <v>014</v>
      </c>
      <c r="H28" t="str">
        <f>_xlfn.XLOOKUP(LEFT(A28,3),INDUSTRY!$A$2:$A$259,INDUSTRY!$B$2:$B$259,"")</f>
        <v>Animal production</v>
      </c>
      <c r="I28" t="str">
        <f t="shared" si="0"/>
        <v>0143</v>
      </c>
      <c r="J28" t="str">
        <f t="shared" si="1"/>
        <v>Raising of camels and camelids</v>
      </c>
    </row>
    <row r="29" spans="1:10" x14ac:dyDescent="0.25">
      <c r="A29" t="s">
        <v>905</v>
      </c>
      <c r="B29" t="s">
        <v>906</v>
      </c>
      <c r="C29" t="s">
        <v>854</v>
      </c>
      <c r="D29" t="str">
        <f>_xlfn.XLOOKUP(ISIC_Rev_5_english_structure__1[[#This Row],[Column4]],INDUSTRYGROUP!$C$2:$C$23,INDUSTRYGROUP!$D$2:$D$23,"NONE")</f>
        <v>Agriculture, forestry and fishing</v>
      </c>
      <c r="E29" t="str">
        <f>_xlfn.XLOOKUP(LEFT(A29,2),SECTOR!$A$2:$A$88,SECTOR!$A$2:$A$88,"")</f>
        <v/>
      </c>
      <c r="F29" t="str">
        <f>_xlfn.XLOOKUP(LEFT(A29,2),SECTOR!$A$2:$A$88,SECTOR!$B$2:$B$88,"")</f>
        <v/>
      </c>
      <c r="G29" t="str">
        <f>_xlfn.XLOOKUP(LEFT(A29,3),INDUSTRY!$A$2:$A$259,INDUSTRY!$A$2:$A$259,"")</f>
        <v>014</v>
      </c>
      <c r="H29" t="str">
        <f>_xlfn.XLOOKUP(LEFT(A29,3),INDUSTRY!$A$2:$A$259,INDUSTRY!$B$2:$B$259,"")</f>
        <v>Animal production</v>
      </c>
      <c r="I29" t="str">
        <f t="shared" si="0"/>
        <v>0144</v>
      </c>
      <c r="J29" t="str">
        <f t="shared" si="1"/>
        <v>Raising of sheep and goats</v>
      </c>
    </row>
    <row r="30" spans="1:10" x14ac:dyDescent="0.25">
      <c r="A30" t="s">
        <v>907</v>
      </c>
      <c r="B30" t="s">
        <v>908</v>
      </c>
      <c r="C30" t="s">
        <v>854</v>
      </c>
      <c r="D30" t="str">
        <f>_xlfn.XLOOKUP(ISIC_Rev_5_english_structure__1[[#This Row],[Column4]],INDUSTRYGROUP!$C$2:$C$23,INDUSTRYGROUP!$D$2:$D$23,"NONE")</f>
        <v>Agriculture, forestry and fishing</v>
      </c>
      <c r="E30" t="str">
        <f>_xlfn.XLOOKUP(LEFT(A30,2),SECTOR!$A$2:$A$88,SECTOR!$A$2:$A$88,"")</f>
        <v/>
      </c>
      <c r="F30" t="str">
        <f>_xlfn.XLOOKUP(LEFT(A30,2),SECTOR!$A$2:$A$88,SECTOR!$B$2:$B$88,"")</f>
        <v/>
      </c>
      <c r="G30" t="str">
        <f>_xlfn.XLOOKUP(LEFT(A30,3),INDUSTRY!$A$2:$A$259,INDUSTRY!$A$2:$A$259,"")</f>
        <v>014</v>
      </c>
      <c r="H30" t="str">
        <f>_xlfn.XLOOKUP(LEFT(A30,3),INDUSTRY!$A$2:$A$259,INDUSTRY!$B$2:$B$259,"")</f>
        <v>Animal production</v>
      </c>
      <c r="I30" t="str">
        <f t="shared" si="0"/>
        <v>0145</v>
      </c>
      <c r="J30" t="str">
        <f t="shared" si="1"/>
        <v>Raising of swine and pigs</v>
      </c>
    </row>
    <row r="31" spans="1:10" x14ac:dyDescent="0.25">
      <c r="A31" t="s">
        <v>909</v>
      </c>
      <c r="B31" t="s">
        <v>910</v>
      </c>
      <c r="C31" t="s">
        <v>854</v>
      </c>
      <c r="D31" t="str">
        <f>_xlfn.XLOOKUP(ISIC_Rev_5_english_structure__1[[#This Row],[Column4]],INDUSTRYGROUP!$C$2:$C$23,INDUSTRYGROUP!$D$2:$D$23,"NONE")</f>
        <v>Agriculture, forestry and fishing</v>
      </c>
      <c r="E31" t="str">
        <f>_xlfn.XLOOKUP(LEFT(A31,2),SECTOR!$A$2:$A$88,SECTOR!$A$2:$A$88,"")</f>
        <v/>
      </c>
      <c r="F31" t="str">
        <f>_xlfn.XLOOKUP(LEFT(A31,2),SECTOR!$A$2:$A$88,SECTOR!$B$2:$B$88,"")</f>
        <v/>
      </c>
      <c r="G31" t="str">
        <f>_xlfn.XLOOKUP(LEFT(A31,3),INDUSTRY!$A$2:$A$259,INDUSTRY!$A$2:$A$259,"")</f>
        <v>014</v>
      </c>
      <c r="H31" t="str">
        <f>_xlfn.XLOOKUP(LEFT(A31,3),INDUSTRY!$A$2:$A$259,INDUSTRY!$B$2:$B$259,"")</f>
        <v>Animal production</v>
      </c>
      <c r="I31" t="str">
        <f t="shared" si="0"/>
        <v>0146</v>
      </c>
      <c r="J31" t="str">
        <f t="shared" si="1"/>
        <v>Raising of poultry</v>
      </c>
    </row>
    <row r="32" spans="1:10" x14ac:dyDescent="0.25">
      <c r="A32" t="s">
        <v>911</v>
      </c>
      <c r="B32" t="s">
        <v>912</v>
      </c>
      <c r="C32" t="s">
        <v>854</v>
      </c>
      <c r="D32" t="str">
        <f>_xlfn.XLOOKUP(ISIC_Rev_5_english_structure__1[[#This Row],[Column4]],INDUSTRYGROUP!$C$2:$C$23,INDUSTRYGROUP!$D$2:$D$23,"NONE")</f>
        <v>Agriculture, forestry and fishing</v>
      </c>
      <c r="E32" t="str">
        <f>_xlfn.XLOOKUP(LEFT(A32,2),SECTOR!$A$2:$A$88,SECTOR!$A$2:$A$88,"")</f>
        <v/>
      </c>
      <c r="F32" t="str">
        <f>_xlfn.XLOOKUP(LEFT(A32,2),SECTOR!$A$2:$A$88,SECTOR!$B$2:$B$88,"")</f>
        <v/>
      </c>
      <c r="G32" t="str">
        <f>_xlfn.XLOOKUP(LEFT(A32,3),INDUSTRY!$A$2:$A$259,INDUSTRY!$A$2:$A$259,"")</f>
        <v>014</v>
      </c>
      <c r="H32" t="str">
        <f>_xlfn.XLOOKUP(LEFT(A32,3),INDUSTRY!$A$2:$A$259,INDUSTRY!$B$2:$B$259,"")</f>
        <v>Animal production</v>
      </c>
      <c r="I32" t="str">
        <f t="shared" si="0"/>
        <v>0149</v>
      </c>
      <c r="J32" t="str">
        <f t="shared" si="1"/>
        <v>Raising of other animals</v>
      </c>
    </row>
    <row r="33" spans="1:10" x14ac:dyDescent="0.25">
      <c r="A33" t="s">
        <v>913</v>
      </c>
      <c r="B33" t="s">
        <v>914</v>
      </c>
      <c r="C33" t="s">
        <v>854</v>
      </c>
      <c r="D33" t="str">
        <f>_xlfn.XLOOKUP(ISIC_Rev_5_english_structure__1[[#This Row],[Column4]],INDUSTRYGROUP!$C$2:$C$23,INDUSTRYGROUP!$D$2:$D$23,"NONE")</f>
        <v>Agriculture, forestry and fishing</v>
      </c>
      <c r="E33" t="str">
        <f>_xlfn.XLOOKUP(LEFT(A33,2),SECTOR!$A$2:$A$88,SECTOR!$A$2:$A$88,"")</f>
        <v/>
      </c>
      <c r="F33" t="str">
        <f>_xlfn.XLOOKUP(LEFT(A33,2),SECTOR!$A$2:$A$88,SECTOR!$B$2:$B$88,"")</f>
        <v/>
      </c>
      <c r="G33" t="str">
        <f>_xlfn.XLOOKUP(LEFT(A33,3),INDUSTRY!$A$2:$A$259,INDUSTRY!$A$2:$A$259,"")</f>
        <v>015</v>
      </c>
      <c r="H33" t="str">
        <f>_xlfn.XLOOKUP(LEFT(A33,3),INDUSTRY!$A$2:$A$259,INDUSTRY!$B$2:$B$259,"")</f>
        <v>Mixed farming</v>
      </c>
      <c r="I33" t="str">
        <f t="shared" si="0"/>
        <v/>
      </c>
      <c r="J33" t="str">
        <f t="shared" si="1"/>
        <v/>
      </c>
    </row>
    <row r="34" spans="1:10" x14ac:dyDescent="0.25">
      <c r="A34" t="s">
        <v>915</v>
      </c>
      <c r="B34" t="s">
        <v>914</v>
      </c>
      <c r="C34" t="s">
        <v>854</v>
      </c>
      <c r="D34" t="str">
        <f>_xlfn.XLOOKUP(ISIC_Rev_5_english_structure__1[[#This Row],[Column4]],INDUSTRYGROUP!$C$2:$C$23,INDUSTRYGROUP!$D$2:$D$23,"NONE")</f>
        <v>Agriculture, forestry and fishing</v>
      </c>
      <c r="E34" t="str">
        <f>_xlfn.XLOOKUP(LEFT(A34,2),SECTOR!$A$2:$A$88,SECTOR!$A$2:$A$88,"")</f>
        <v/>
      </c>
      <c r="F34" t="str">
        <f>_xlfn.XLOOKUP(LEFT(A34,2),SECTOR!$A$2:$A$88,SECTOR!$B$2:$B$88,"")</f>
        <v/>
      </c>
      <c r="G34" t="str">
        <f>_xlfn.XLOOKUP(LEFT(A34,3),INDUSTRY!$A$2:$A$259,INDUSTRY!$A$2:$A$259,"")</f>
        <v>015</v>
      </c>
      <c r="H34" t="str">
        <f>_xlfn.XLOOKUP(LEFT(A34,3),INDUSTRY!$A$2:$A$259,INDUSTRY!$B$2:$B$259,"")</f>
        <v>Mixed farming</v>
      </c>
      <c r="I34" t="str">
        <f t="shared" si="0"/>
        <v>0150</v>
      </c>
      <c r="J34" t="str">
        <f t="shared" si="1"/>
        <v>Mixed farming</v>
      </c>
    </row>
    <row r="35" spans="1:10" x14ac:dyDescent="0.25">
      <c r="A35" t="s">
        <v>916</v>
      </c>
      <c r="B35" t="s">
        <v>917</v>
      </c>
      <c r="C35" t="s">
        <v>854</v>
      </c>
      <c r="D35" t="str">
        <f>_xlfn.XLOOKUP(ISIC_Rev_5_english_structure__1[[#This Row],[Column4]],INDUSTRYGROUP!$C$2:$C$23,INDUSTRYGROUP!$D$2:$D$23,"NONE")</f>
        <v>Agriculture, forestry and fishing</v>
      </c>
      <c r="E35" t="str">
        <f>_xlfn.XLOOKUP(LEFT(A35,2),SECTOR!$A$2:$A$88,SECTOR!$A$2:$A$88,"")</f>
        <v/>
      </c>
      <c r="F35" t="str">
        <f>_xlfn.XLOOKUP(LEFT(A35,2),SECTOR!$A$2:$A$88,SECTOR!$B$2:$B$88,"")</f>
        <v/>
      </c>
      <c r="G35" t="str">
        <f>_xlfn.XLOOKUP(LEFT(A35,3),INDUSTRY!$A$2:$A$259,INDUSTRY!$A$2:$A$259,"")</f>
        <v>016</v>
      </c>
      <c r="H35" t="str">
        <f>_xlfn.XLOOKUP(LEFT(A35,3),INDUSTRY!$A$2:$A$259,INDUSTRY!$B$2:$B$259,"")</f>
        <v>Support activities to agriculture and post-harvest crop activities</v>
      </c>
      <c r="I35" t="str">
        <f t="shared" si="0"/>
        <v/>
      </c>
      <c r="J35" t="str">
        <f t="shared" si="1"/>
        <v/>
      </c>
    </row>
    <row r="36" spans="1:10" x14ac:dyDescent="0.25">
      <c r="A36" t="s">
        <v>918</v>
      </c>
      <c r="B36" t="s">
        <v>919</v>
      </c>
      <c r="C36" t="s">
        <v>854</v>
      </c>
      <c r="D36" t="str">
        <f>_xlfn.XLOOKUP(ISIC_Rev_5_english_structure__1[[#This Row],[Column4]],INDUSTRYGROUP!$C$2:$C$23,INDUSTRYGROUP!$D$2:$D$23,"NONE")</f>
        <v>Agriculture, forestry and fishing</v>
      </c>
      <c r="E36" t="str">
        <f>_xlfn.XLOOKUP(LEFT(A36,2),SECTOR!$A$2:$A$88,SECTOR!$A$2:$A$88,"")</f>
        <v/>
      </c>
      <c r="F36" t="str">
        <f>_xlfn.XLOOKUP(LEFT(A36,2),SECTOR!$A$2:$A$88,SECTOR!$B$2:$B$88,"")</f>
        <v/>
      </c>
      <c r="G36" t="str">
        <f>_xlfn.XLOOKUP(LEFT(A36,3),INDUSTRY!$A$2:$A$259,INDUSTRY!$A$2:$A$259,"")</f>
        <v>016</v>
      </c>
      <c r="H36" t="str">
        <f>_xlfn.XLOOKUP(LEFT(A36,3),INDUSTRY!$A$2:$A$259,INDUSTRY!$B$2:$B$259,"")</f>
        <v>Support activities to agriculture and post-harvest crop activities</v>
      </c>
      <c r="I36" t="str">
        <f t="shared" si="0"/>
        <v>0161</v>
      </c>
      <c r="J36" t="str">
        <f t="shared" si="1"/>
        <v>Support activities for crop production</v>
      </c>
    </row>
    <row r="37" spans="1:10" x14ac:dyDescent="0.25">
      <c r="A37" t="s">
        <v>920</v>
      </c>
      <c r="B37" t="s">
        <v>921</v>
      </c>
      <c r="C37" t="s">
        <v>854</v>
      </c>
      <c r="D37" t="str">
        <f>_xlfn.XLOOKUP(ISIC_Rev_5_english_structure__1[[#This Row],[Column4]],INDUSTRYGROUP!$C$2:$C$23,INDUSTRYGROUP!$D$2:$D$23,"NONE")</f>
        <v>Agriculture, forestry and fishing</v>
      </c>
      <c r="E37" t="str">
        <f>_xlfn.XLOOKUP(LEFT(A37,2),SECTOR!$A$2:$A$88,SECTOR!$A$2:$A$88,"")</f>
        <v/>
      </c>
      <c r="F37" t="str">
        <f>_xlfn.XLOOKUP(LEFT(A37,2),SECTOR!$A$2:$A$88,SECTOR!$B$2:$B$88,"")</f>
        <v/>
      </c>
      <c r="G37" t="str">
        <f>_xlfn.XLOOKUP(LEFT(A37,3),INDUSTRY!$A$2:$A$259,INDUSTRY!$A$2:$A$259,"")</f>
        <v>016</v>
      </c>
      <c r="H37" t="str">
        <f>_xlfn.XLOOKUP(LEFT(A37,3),INDUSTRY!$A$2:$A$259,INDUSTRY!$B$2:$B$259,"")</f>
        <v>Support activities to agriculture and post-harvest crop activities</v>
      </c>
      <c r="I37" t="str">
        <f t="shared" si="0"/>
        <v>0162</v>
      </c>
      <c r="J37" t="str">
        <f t="shared" si="1"/>
        <v>Support activities for animal production</v>
      </c>
    </row>
    <row r="38" spans="1:10" x14ac:dyDescent="0.25">
      <c r="A38" t="s">
        <v>922</v>
      </c>
      <c r="B38" t="s">
        <v>923</v>
      </c>
      <c r="C38" t="s">
        <v>854</v>
      </c>
      <c r="D38" t="str">
        <f>_xlfn.XLOOKUP(ISIC_Rev_5_english_structure__1[[#This Row],[Column4]],INDUSTRYGROUP!$C$2:$C$23,INDUSTRYGROUP!$D$2:$D$23,"NONE")</f>
        <v>Agriculture, forestry and fishing</v>
      </c>
      <c r="E38" t="str">
        <f>_xlfn.XLOOKUP(LEFT(A38,2),SECTOR!$A$2:$A$88,SECTOR!$A$2:$A$88,"")</f>
        <v/>
      </c>
      <c r="F38" t="str">
        <f>_xlfn.XLOOKUP(LEFT(A38,2),SECTOR!$A$2:$A$88,SECTOR!$B$2:$B$88,"")</f>
        <v/>
      </c>
      <c r="G38" t="str">
        <f>_xlfn.XLOOKUP(LEFT(A38,3),INDUSTRY!$A$2:$A$259,INDUSTRY!$A$2:$A$259,"")</f>
        <v>016</v>
      </c>
      <c r="H38" t="str">
        <f>_xlfn.XLOOKUP(LEFT(A38,3),INDUSTRY!$A$2:$A$259,INDUSTRY!$B$2:$B$259,"")</f>
        <v>Support activities to agriculture and post-harvest crop activities</v>
      </c>
      <c r="I38" t="str">
        <f t="shared" si="0"/>
        <v>0163</v>
      </c>
      <c r="J38" t="str">
        <f t="shared" si="1"/>
        <v>Post-harvest crop activities</v>
      </c>
    </row>
    <row r="39" spans="1:10" x14ac:dyDescent="0.25">
      <c r="A39" t="s">
        <v>924</v>
      </c>
      <c r="B39" t="s">
        <v>925</v>
      </c>
      <c r="C39" t="s">
        <v>854</v>
      </c>
      <c r="D39" t="str">
        <f>_xlfn.XLOOKUP(ISIC_Rev_5_english_structure__1[[#This Row],[Column4]],INDUSTRYGROUP!$C$2:$C$23,INDUSTRYGROUP!$D$2:$D$23,"NONE")</f>
        <v>Agriculture, forestry and fishing</v>
      </c>
      <c r="E39" t="str">
        <f>_xlfn.XLOOKUP(LEFT(A39,2),SECTOR!$A$2:$A$88,SECTOR!$A$2:$A$88,"")</f>
        <v/>
      </c>
      <c r="F39" t="str">
        <f>_xlfn.XLOOKUP(LEFT(A39,2),SECTOR!$A$2:$A$88,SECTOR!$B$2:$B$88,"")</f>
        <v/>
      </c>
      <c r="G39" t="str">
        <f>_xlfn.XLOOKUP(LEFT(A39,3),INDUSTRY!$A$2:$A$259,INDUSTRY!$A$2:$A$259,"")</f>
        <v>016</v>
      </c>
      <c r="H39" t="str">
        <f>_xlfn.XLOOKUP(LEFT(A39,3),INDUSTRY!$A$2:$A$259,INDUSTRY!$B$2:$B$259,"")</f>
        <v>Support activities to agriculture and post-harvest crop activities</v>
      </c>
      <c r="I39" t="str">
        <f t="shared" si="0"/>
        <v>0164</v>
      </c>
      <c r="J39" t="str">
        <f t="shared" si="1"/>
        <v>Seed processing for propagation</v>
      </c>
    </row>
    <row r="40" spans="1:10" x14ac:dyDescent="0.25">
      <c r="A40" t="s">
        <v>926</v>
      </c>
      <c r="B40" t="s">
        <v>927</v>
      </c>
      <c r="C40" t="s">
        <v>854</v>
      </c>
      <c r="D40" t="str">
        <f>_xlfn.XLOOKUP(ISIC_Rev_5_english_structure__1[[#This Row],[Column4]],INDUSTRYGROUP!$C$2:$C$23,INDUSTRYGROUP!$D$2:$D$23,"NONE")</f>
        <v>Agriculture, forestry and fishing</v>
      </c>
      <c r="E40" t="str">
        <f>_xlfn.XLOOKUP(LEFT(A40,2),SECTOR!$A$2:$A$88,SECTOR!$A$2:$A$88,"")</f>
        <v/>
      </c>
      <c r="F40" t="str">
        <f>_xlfn.XLOOKUP(LEFT(A40,2),SECTOR!$A$2:$A$88,SECTOR!$B$2:$B$88,"")</f>
        <v/>
      </c>
      <c r="G40" t="str">
        <f>_xlfn.XLOOKUP(LEFT(A40,3),INDUSTRY!$A$2:$A$259,INDUSTRY!$A$2:$A$259,"")</f>
        <v>017</v>
      </c>
      <c r="H40" t="str">
        <f>_xlfn.XLOOKUP(LEFT(A40,3),INDUSTRY!$A$2:$A$259,INDUSTRY!$B$2:$B$259,"")</f>
        <v>Hunting, trapping and related service activities</v>
      </c>
      <c r="I40" t="str">
        <f t="shared" si="0"/>
        <v/>
      </c>
      <c r="J40" t="str">
        <f t="shared" si="1"/>
        <v/>
      </c>
    </row>
    <row r="41" spans="1:10" x14ac:dyDescent="0.25">
      <c r="A41" t="s">
        <v>928</v>
      </c>
      <c r="B41" t="s">
        <v>927</v>
      </c>
      <c r="C41" t="s">
        <v>854</v>
      </c>
      <c r="D41" t="str">
        <f>_xlfn.XLOOKUP(ISIC_Rev_5_english_structure__1[[#This Row],[Column4]],INDUSTRYGROUP!$C$2:$C$23,INDUSTRYGROUP!$D$2:$D$23,"NONE")</f>
        <v>Agriculture, forestry and fishing</v>
      </c>
      <c r="E41" t="str">
        <f>_xlfn.XLOOKUP(LEFT(A41,2),SECTOR!$A$2:$A$88,SECTOR!$A$2:$A$88,"")</f>
        <v/>
      </c>
      <c r="F41" t="str">
        <f>_xlfn.XLOOKUP(LEFT(A41,2),SECTOR!$A$2:$A$88,SECTOR!$B$2:$B$88,"")</f>
        <v/>
      </c>
      <c r="G41" t="str">
        <f>_xlfn.XLOOKUP(LEFT(A41,3),INDUSTRY!$A$2:$A$259,INDUSTRY!$A$2:$A$259,"")</f>
        <v>017</v>
      </c>
      <c r="H41" t="str">
        <f>_xlfn.XLOOKUP(LEFT(A41,3),INDUSTRY!$A$2:$A$259,INDUSTRY!$B$2:$B$259,"")</f>
        <v>Hunting, trapping and related service activities</v>
      </c>
      <c r="I41" t="str">
        <f t="shared" si="0"/>
        <v>0170</v>
      </c>
      <c r="J41" t="str">
        <f t="shared" si="1"/>
        <v>Hunting, trapping and related service activities</v>
      </c>
    </row>
    <row r="42" spans="1:10" x14ac:dyDescent="0.25">
      <c r="A42" t="s">
        <v>929</v>
      </c>
      <c r="B42" t="s">
        <v>930</v>
      </c>
      <c r="C42" t="s">
        <v>854</v>
      </c>
      <c r="D42" t="str">
        <f>_xlfn.XLOOKUP(ISIC_Rev_5_english_structure__1[[#This Row],[Column4]],INDUSTRYGROUP!$C$2:$C$23,INDUSTRYGROUP!$D$2:$D$23,"NONE")</f>
        <v>Agriculture, forestry and fishing</v>
      </c>
      <c r="E42" t="str">
        <f>_xlfn.XLOOKUP(LEFT(A42,2),SECTOR!$A$2:$A$88,SECTOR!$A$2:$A$88,"")</f>
        <v/>
      </c>
      <c r="F42" t="str">
        <f>_xlfn.XLOOKUP(LEFT(A42,2),SECTOR!$A$2:$A$88,SECTOR!$B$2:$B$88,"")</f>
        <v/>
      </c>
      <c r="G42" t="str">
        <f>_xlfn.XLOOKUP(LEFT(A42,3),INDUSTRY!$A$2:$A$259,INDUSTRY!$A$2:$A$259,"")</f>
        <v/>
      </c>
      <c r="H42" t="str">
        <f>_xlfn.XLOOKUP(LEFT(A42,3),INDUSTRY!$A$2:$A$259,INDUSTRY!$B$2:$B$259,"")</f>
        <v/>
      </c>
      <c r="I42" t="str">
        <f t="shared" si="0"/>
        <v/>
      </c>
      <c r="J42" t="str">
        <f t="shared" si="1"/>
        <v/>
      </c>
    </row>
    <row r="43" spans="1:10" x14ac:dyDescent="0.25">
      <c r="A43" t="s">
        <v>931</v>
      </c>
      <c r="B43" t="s">
        <v>932</v>
      </c>
      <c r="C43" t="s">
        <v>854</v>
      </c>
      <c r="D43" t="str">
        <f>_xlfn.XLOOKUP(ISIC_Rev_5_english_structure__1[[#This Row],[Column4]],INDUSTRYGROUP!$C$2:$C$23,INDUSTRYGROUP!$D$2:$D$23,"NONE")</f>
        <v>Agriculture, forestry and fishing</v>
      </c>
      <c r="E43" t="str">
        <f>_xlfn.XLOOKUP(LEFT(A43,2),SECTOR!$A$2:$A$88,SECTOR!$A$2:$A$88,"")</f>
        <v/>
      </c>
      <c r="F43" t="str">
        <f>_xlfn.XLOOKUP(LEFT(A43,2),SECTOR!$A$2:$A$88,SECTOR!$B$2:$B$88,"")</f>
        <v/>
      </c>
      <c r="G43" t="str">
        <f>_xlfn.XLOOKUP(LEFT(A43,3),INDUSTRY!$A$2:$A$259,INDUSTRY!$A$2:$A$259,"")</f>
        <v>021</v>
      </c>
      <c r="H43" t="str">
        <f>_xlfn.XLOOKUP(LEFT(A43,3),INDUSTRY!$A$2:$A$259,INDUSTRY!$B$2:$B$259,"")</f>
        <v>Silviculture and other forestry activities</v>
      </c>
      <c r="I43" t="str">
        <f t="shared" si="0"/>
        <v/>
      </c>
      <c r="J43" t="str">
        <f t="shared" si="1"/>
        <v/>
      </c>
    </row>
    <row r="44" spans="1:10" x14ac:dyDescent="0.25">
      <c r="A44" t="s">
        <v>933</v>
      </c>
      <c r="B44" t="s">
        <v>932</v>
      </c>
      <c r="C44" t="s">
        <v>854</v>
      </c>
      <c r="D44" t="str">
        <f>_xlfn.XLOOKUP(ISIC_Rev_5_english_structure__1[[#This Row],[Column4]],INDUSTRYGROUP!$C$2:$C$23,INDUSTRYGROUP!$D$2:$D$23,"NONE")</f>
        <v>Agriculture, forestry and fishing</v>
      </c>
      <c r="E44" t="str">
        <f>_xlfn.XLOOKUP(LEFT(A44,2),SECTOR!$A$2:$A$88,SECTOR!$A$2:$A$88,"")</f>
        <v/>
      </c>
      <c r="F44" t="str">
        <f>_xlfn.XLOOKUP(LEFT(A44,2),SECTOR!$A$2:$A$88,SECTOR!$B$2:$B$88,"")</f>
        <v/>
      </c>
      <c r="G44" t="str">
        <f>_xlfn.XLOOKUP(LEFT(A44,3),INDUSTRY!$A$2:$A$259,INDUSTRY!$A$2:$A$259,"")</f>
        <v>021</v>
      </c>
      <c r="H44" t="str">
        <f>_xlfn.XLOOKUP(LEFT(A44,3),INDUSTRY!$A$2:$A$259,INDUSTRY!$B$2:$B$259,"")</f>
        <v>Silviculture and other forestry activities</v>
      </c>
      <c r="I44" t="str">
        <f t="shared" si="0"/>
        <v>0210</v>
      </c>
      <c r="J44" t="str">
        <f t="shared" si="1"/>
        <v>Silviculture and other forestry activities</v>
      </c>
    </row>
    <row r="45" spans="1:10" x14ac:dyDescent="0.25">
      <c r="A45" t="s">
        <v>934</v>
      </c>
      <c r="B45" t="s">
        <v>935</v>
      </c>
      <c r="C45" t="s">
        <v>854</v>
      </c>
      <c r="D45" t="str">
        <f>_xlfn.XLOOKUP(ISIC_Rev_5_english_structure__1[[#This Row],[Column4]],INDUSTRYGROUP!$C$2:$C$23,INDUSTRYGROUP!$D$2:$D$23,"NONE")</f>
        <v>Agriculture, forestry and fishing</v>
      </c>
      <c r="E45" t="str">
        <f>_xlfn.XLOOKUP(LEFT(A45,2),SECTOR!$A$2:$A$88,SECTOR!$A$2:$A$88,"")</f>
        <v/>
      </c>
      <c r="F45" t="str">
        <f>_xlfn.XLOOKUP(LEFT(A45,2),SECTOR!$A$2:$A$88,SECTOR!$B$2:$B$88,"")</f>
        <v/>
      </c>
      <c r="G45" t="str">
        <f>_xlfn.XLOOKUP(LEFT(A45,3),INDUSTRY!$A$2:$A$259,INDUSTRY!$A$2:$A$259,"")</f>
        <v>022</v>
      </c>
      <c r="H45" t="str">
        <f>_xlfn.XLOOKUP(LEFT(A45,3),INDUSTRY!$A$2:$A$259,INDUSTRY!$B$2:$B$259,"")</f>
        <v>Logging</v>
      </c>
      <c r="I45" t="str">
        <f t="shared" si="0"/>
        <v/>
      </c>
      <c r="J45" t="str">
        <f t="shared" si="1"/>
        <v/>
      </c>
    </row>
    <row r="46" spans="1:10" x14ac:dyDescent="0.25">
      <c r="A46" t="s">
        <v>936</v>
      </c>
      <c r="B46" t="s">
        <v>935</v>
      </c>
      <c r="C46" t="s">
        <v>854</v>
      </c>
      <c r="D46" t="str">
        <f>_xlfn.XLOOKUP(ISIC_Rev_5_english_structure__1[[#This Row],[Column4]],INDUSTRYGROUP!$C$2:$C$23,INDUSTRYGROUP!$D$2:$D$23,"NONE")</f>
        <v>Agriculture, forestry and fishing</v>
      </c>
      <c r="E46" t="str">
        <f>_xlfn.XLOOKUP(LEFT(A46,2),SECTOR!$A$2:$A$88,SECTOR!$A$2:$A$88,"")</f>
        <v/>
      </c>
      <c r="F46" t="str">
        <f>_xlfn.XLOOKUP(LEFT(A46,2),SECTOR!$A$2:$A$88,SECTOR!$B$2:$B$88,"")</f>
        <v/>
      </c>
      <c r="G46" t="str">
        <f>_xlfn.XLOOKUP(LEFT(A46,3),INDUSTRY!$A$2:$A$259,INDUSTRY!$A$2:$A$259,"")</f>
        <v>022</v>
      </c>
      <c r="H46" t="str">
        <f>_xlfn.XLOOKUP(LEFT(A46,3),INDUSTRY!$A$2:$A$259,INDUSTRY!$B$2:$B$259,"")</f>
        <v>Logging</v>
      </c>
      <c r="I46" t="str">
        <f t="shared" si="0"/>
        <v>0220</v>
      </c>
      <c r="J46" t="str">
        <f t="shared" si="1"/>
        <v>Logging</v>
      </c>
    </row>
    <row r="47" spans="1:10" x14ac:dyDescent="0.25">
      <c r="A47" t="s">
        <v>937</v>
      </c>
      <c r="B47" t="s">
        <v>938</v>
      </c>
      <c r="C47" t="s">
        <v>854</v>
      </c>
      <c r="D47" t="str">
        <f>_xlfn.XLOOKUP(ISIC_Rev_5_english_structure__1[[#This Row],[Column4]],INDUSTRYGROUP!$C$2:$C$23,INDUSTRYGROUP!$D$2:$D$23,"NONE")</f>
        <v>Agriculture, forestry and fishing</v>
      </c>
      <c r="E47" t="str">
        <f>_xlfn.XLOOKUP(LEFT(A47,2),SECTOR!$A$2:$A$88,SECTOR!$A$2:$A$88,"")</f>
        <v/>
      </c>
      <c r="F47" t="str">
        <f>_xlfn.XLOOKUP(LEFT(A47,2),SECTOR!$A$2:$A$88,SECTOR!$B$2:$B$88,"")</f>
        <v/>
      </c>
      <c r="G47" t="str">
        <f>_xlfn.XLOOKUP(LEFT(A47,3),INDUSTRY!$A$2:$A$259,INDUSTRY!$A$2:$A$259,"")</f>
        <v>023</v>
      </c>
      <c r="H47" t="str">
        <f>_xlfn.XLOOKUP(LEFT(A47,3),INDUSTRY!$A$2:$A$259,INDUSTRY!$B$2:$B$259,"")</f>
        <v>Gathering of non-wood forest products</v>
      </c>
      <c r="I47" t="str">
        <f t="shared" si="0"/>
        <v/>
      </c>
      <c r="J47" t="str">
        <f t="shared" si="1"/>
        <v/>
      </c>
    </row>
    <row r="48" spans="1:10" x14ac:dyDescent="0.25">
      <c r="A48" t="s">
        <v>939</v>
      </c>
      <c r="B48" t="s">
        <v>938</v>
      </c>
      <c r="C48" t="s">
        <v>854</v>
      </c>
      <c r="D48" t="str">
        <f>_xlfn.XLOOKUP(ISIC_Rev_5_english_structure__1[[#This Row],[Column4]],INDUSTRYGROUP!$C$2:$C$23,INDUSTRYGROUP!$D$2:$D$23,"NONE")</f>
        <v>Agriculture, forestry and fishing</v>
      </c>
      <c r="E48" t="str">
        <f>_xlfn.XLOOKUP(LEFT(A48,2),SECTOR!$A$2:$A$88,SECTOR!$A$2:$A$88,"")</f>
        <v/>
      </c>
      <c r="F48" t="str">
        <f>_xlfn.XLOOKUP(LEFT(A48,2),SECTOR!$A$2:$A$88,SECTOR!$B$2:$B$88,"")</f>
        <v/>
      </c>
      <c r="G48" t="str">
        <f>_xlfn.XLOOKUP(LEFT(A48,3),INDUSTRY!$A$2:$A$259,INDUSTRY!$A$2:$A$259,"")</f>
        <v>023</v>
      </c>
      <c r="H48" t="str">
        <f>_xlfn.XLOOKUP(LEFT(A48,3),INDUSTRY!$A$2:$A$259,INDUSTRY!$B$2:$B$259,"")</f>
        <v>Gathering of non-wood forest products</v>
      </c>
      <c r="I48" t="str">
        <f t="shared" si="0"/>
        <v>0230</v>
      </c>
      <c r="J48" t="str">
        <f t="shared" si="1"/>
        <v>Gathering of non-wood forest products</v>
      </c>
    </row>
    <row r="49" spans="1:10" x14ac:dyDescent="0.25">
      <c r="A49" t="s">
        <v>940</v>
      </c>
      <c r="B49" t="s">
        <v>941</v>
      </c>
      <c r="C49" t="s">
        <v>854</v>
      </c>
      <c r="D49" t="str">
        <f>_xlfn.XLOOKUP(ISIC_Rev_5_english_structure__1[[#This Row],[Column4]],INDUSTRYGROUP!$C$2:$C$23,INDUSTRYGROUP!$D$2:$D$23,"NONE")</f>
        <v>Agriculture, forestry and fishing</v>
      </c>
      <c r="E49" t="str">
        <f>_xlfn.XLOOKUP(LEFT(A49,2),SECTOR!$A$2:$A$88,SECTOR!$A$2:$A$88,"")</f>
        <v/>
      </c>
      <c r="F49" t="str">
        <f>_xlfn.XLOOKUP(LEFT(A49,2),SECTOR!$A$2:$A$88,SECTOR!$B$2:$B$88,"")</f>
        <v/>
      </c>
      <c r="G49" t="str">
        <f>_xlfn.XLOOKUP(LEFT(A49,3),INDUSTRY!$A$2:$A$259,INDUSTRY!$A$2:$A$259,"")</f>
        <v>024</v>
      </c>
      <c r="H49" t="str">
        <f>_xlfn.XLOOKUP(LEFT(A49,3),INDUSTRY!$A$2:$A$259,INDUSTRY!$B$2:$B$259,"")</f>
        <v>Support services to forestry</v>
      </c>
      <c r="I49" t="str">
        <f t="shared" si="0"/>
        <v/>
      </c>
      <c r="J49" t="str">
        <f t="shared" si="1"/>
        <v/>
      </c>
    </row>
    <row r="50" spans="1:10" x14ac:dyDescent="0.25">
      <c r="A50" t="s">
        <v>942</v>
      </c>
      <c r="B50" t="s">
        <v>941</v>
      </c>
      <c r="C50" t="s">
        <v>854</v>
      </c>
      <c r="D50" t="str">
        <f>_xlfn.XLOOKUP(ISIC_Rev_5_english_structure__1[[#This Row],[Column4]],INDUSTRYGROUP!$C$2:$C$23,INDUSTRYGROUP!$D$2:$D$23,"NONE")</f>
        <v>Agriculture, forestry and fishing</v>
      </c>
      <c r="E50" t="str">
        <f>_xlfn.XLOOKUP(LEFT(A50,2),SECTOR!$A$2:$A$88,SECTOR!$A$2:$A$88,"")</f>
        <v/>
      </c>
      <c r="F50" t="str">
        <f>_xlfn.XLOOKUP(LEFT(A50,2),SECTOR!$A$2:$A$88,SECTOR!$B$2:$B$88,"")</f>
        <v/>
      </c>
      <c r="G50" t="str">
        <f>_xlfn.XLOOKUP(LEFT(A50,3),INDUSTRY!$A$2:$A$259,INDUSTRY!$A$2:$A$259,"")</f>
        <v>024</v>
      </c>
      <c r="H50" t="str">
        <f>_xlfn.XLOOKUP(LEFT(A50,3),INDUSTRY!$A$2:$A$259,INDUSTRY!$B$2:$B$259,"")</f>
        <v>Support services to forestry</v>
      </c>
      <c r="I50" t="str">
        <f t="shared" si="0"/>
        <v>0240</v>
      </c>
      <c r="J50" t="str">
        <f t="shared" si="1"/>
        <v>Support services to forestry</v>
      </c>
    </row>
    <row r="51" spans="1:10" x14ac:dyDescent="0.25">
      <c r="A51" t="s">
        <v>943</v>
      </c>
      <c r="B51" t="s">
        <v>944</v>
      </c>
      <c r="C51" t="s">
        <v>854</v>
      </c>
      <c r="D51" t="str">
        <f>_xlfn.XLOOKUP(ISIC_Rev_5_english_structure__1[[#This Row],[Column4]],INDUSTRYGROUP!$C$2:$C$23,INDUSTRYGROUP!$D$2:$D$23,"NONE")</f>
        <v>Agriculture, forestry and fishing</v>
      </c>
      <c r="E51" t="str">
        <f>_xlfn.XLOOKUP(LEFT(A51,2),SECTOR!$A$2:$A$88,SECTOR!$A$2:$A$88,"")</f>
        <v/>
      </c>
      <c r="F51" t="str">
        <f>_xlfn.XLOOKUP(LEFT(A51,2),SECTOR!$A$2:$A$88,SECTOR!$B$2:$B$88,"")</f>
        <v/>
      </c>
      <c r="G51" t="str">
        <f>_xlfn.XLOOKUP(LEFT(A51,3),INDUSTRY!$A$2:$A$259,INDUSTRY!$A$2:$A$259,"")</f>
        <v/>
      </c>
      <c r="H51" t="str">
        <f>_xlfn.XLOOKUP(LEFT(A51,3),INDUSTRY!$A$2:$A$259,INDUSTRY!$B$2:$B$259,"")</f>
        <v/>
      </c>
      <c r="I51" t="str">
        <f t="shared" si="0"/>
        <v/>
      </c>
      <c r="J51" t="str">
        <f t="shared" si="1"/>
        <v/>
      </c>
    </row>
    <row r="52" spans="1:10" x14ac:dyDescent="0.25">
      <c r="A52" t="s">
        <v>945</v>
      </c>
      <c r="B52" t="s">
        <v>946</v>
      </c>
      <c r="C52" t="s">
        <v>854</v>
      </c>
      <c r="D52" t="str">
        <f>_xlfn.XLOOKUP(ISIC_Rev_5_english_structure__1[[#This Row],[Column4]],INDUSTRYGROUP!$C$2:$C$23,INDUSTRYGROUP!$D$2:$D$23,"NONE")</f>
        <v>Agriculture, forestry and fishing</v>
      </c>
      <c r="E52" t="str">
        <f>_xlfn.XLOOKUP(LEFT(A52,2),SECTOR!$A$2:$A$88,SECTOR!$A$2:$A$88,"")</f>
        <v/>
      </c>
      <c r="F52" t="str">
        <f>_xlfn.XLOOKUP(LEFT(A52,2),SECTOR!$A$2:$A$88,SECTOR!$B$2:$B$88,"")</f>
        <v/>
      </c>
      <c r="G52" t="str">
        <f>_xlfn.XLOOKUP(LEFT(A52,3),INDUSTRY!$A$2:$A$259,INDUSTRY!$A$2:$A$259,"")</f>
        <v>031</v>
      </c>
      <c r="H52" t="str">
        <f>_xlfn.XLOOKUP(LEFT(A52,3),INDUSTRY!$A$2:$A$259,INDUSTRY!$B$2:$B$259,"")</f>
        <v>Fishing</v>
      </c>
      <c r="I52" t="str">
        <f t="shared" si="0"/>
        <v/>
      </c>
      <c r="J52" t="str">
        <f t="shared" si="1"/>
        <v/>
      </c>
    </row>
    <row r="53" spans="1:10" x14ac:dyDescent="0.25">
      <c r="A53" t="s">
        <v>947</v>
      </c>
      <c r="B53" t="s">
        <v>948</v>
      </c>
      <c r="C53" t="s">
        <v>854</v>
      </c>
      <c r="D53" t="str">
        <f>_xlfn.XLOOKUP(ISIC_Rev_5_english_structure__1[[#This Row],[Column4]],INDUSTRYGROUP!$C$2:$C$23,INDUSTRYGROUP!$D$2:$D$23,"NONE")</f>
        <v>Agriculture, forestry and fishing</v>
      </c>
      <c r="E53" t="str">
        <f>_xlfn.XLOOKUP(LEFT(A53,2),SECTOR!$A$2:$A$88,SECTOR!$A$2:$A$88,"")</f>
        <v/>
      </c>
      <c r="F53" t="str">
        <f>_xlfn.XLOOKUP(LEFT(A53,2),SECTOR!$A$2:$A$88,SECTOR!$B$2:$B$88,"")</f>
        <v/>
      </c>
      <c r="G53" t="str">
        <f>_xlfn.XLOOKUP(LEFT(A53,3),INDUSTRY!$A$2:$A$259,INDUSTRY!$A$2:$A$259,"")</f>
        <v>031</v>
      </c>
      <c r="H53" t="str">
        <f>_xlfn.XLOOKUP(LEFT(A53,3),INDUSTRY!$A$2:$A$259,INDUSTRY!$B$2:$B$259,"")</f>
        <v>Fishing</v>
      </c>
      <c r="I53" t="str">
        <f t="shared" si="0"/>
        <v>0311</v>
      </c>
      <c r="J53" t="str">
        <f t="shared" si="1"/>
        <v>Marine fishing</v>
      </c>
    </row>
    <row r="54" spans="1:10" x14ac:dyDescent="0.25">
      <c r="A54" t="s">
        <v>949</v>
      </c>
      <c r="B54" t="s">
        <v>950</v>
      </c>
      <c r="C54" t="s">
        <v>854</v>
      </c>
      <c r="D54" t="str">
        <f>_xlfn.XLOOKUP(ISIC_Rev_5_english_structure__1[[#This Row],[Column4]],INDUSTRYGROUP!$C$2:$C$23,INDUSTRYGROUP!$D$2:$D$23,"NONE")</f>
        <v>Agriculture, forestry and fishing</v>
      </c>
      <c r="E54" t="str">
        <f>_xlfn.XLOOKUP(LEFT(A54,2),SECTOR!$A$2:$A$88,SECTOR!$A$2:$A$88,"")</f>
        <v/>
      </c>
      <c r="F54" t="str">
        <f>_xlfn.XLOOKUP(LEFT(A54,2),SECTOR!$A$2:$A$88,SECTOR!$B$2:$B$88,"")</f>
        <v/>
      </c>
      <c r="G54" t="str">
        <f>_xlfn.XLOOKUP(LEFT(A54,3),INDUSTRY!$A$2:$A$259,INDUSTRY!$A$2:$A$259,"")</f>
        <v>031</v>
      </c>
      <c r="H54" t="str">
        <f>_xlfn.XLOOKUP(LEFT(A54,3),INDUSTRY!$A$2:$A$259,INDUSTRY!$B$2:$B$259,"")</f>
        <v>Fishing</v>
      </c>
      <c r="I54" t="str">
        <f t="shared" si="0"/>
        <v>0312</v>
      </c>
      <c r="J54" t="str">
        <f t="shared" si="1"/>
        <v>Freshwater fishing</v>
      </c>
    </row>
    <row r="55" spans="1:10" x14ac:dyDescent="0.25">
      <c r="A55" t="s">
        <v>951</v>
      </c>
      <c r="B55" t="s">
        <v>952</v>
      </c>
      <c r="C55" t="s">
        <v>854</v>
      </c>
      <c r="D55" t="str">
        <f>_xlfn.XLOOKUP(ISIC_Rev_5_english_structure__1[[#This Row],[Column4]],INDUSTRYGROUP!$C$2:$C$23,INDUSTRYGROUP!$D$2:$D$23,"NONE")</f>
        <v>Agriculture, forestry and fishing</v>
      </c>
      <c r="E55" t="str">
        <f>_xlfn.XLOOKUP(LEFT(A55,2),SECTOR!$A$2:$A$88,SECTOR!$A$2:$A$88,"")</f>
        <v/>
      </c>
      <c r="F55" t="str">
        <f>_xlfn.XLOOKUP(LEFT(A55,2),SECTOR!$A$2:$A$88,SECTOR!$B$2:$B$88,"")</f>
        <v/>
      </c>
      <c r="G55" t="str">
        <f>_xlfn.XLOOKUP(LEFT(A55,3),INDUSTRY!$A$2:$A$259,INDUSTRY!$A$2:$A$259,"")</f>
        <v>032</v>
      </c>
      <c r="H55" t="str">
        <f>_xlfn.XLOOKUP(LEFT(A55,3),INDUSTRY!$A$2:$A$259,INDUSTRY!$B$2:$B$259,"")</f>
        <v>Aquaculture</v>
      </c>
      <c r="I55" t="str">
        <f t="shared" si="0"/>
        <v/>
      </c>
      <c r="J55" t="str">
        <f t="shared" si="1"/>
        <v/>
      </c>
    </row>
    <row r="56" spans="1:10" x14ac:dyDescent="0.25">
      <c r="A56" t="s">
        <v>953</v>
      </c>
      <c r="B56" t="s">
        <v>954</v>
      </c>
      <c r="C56" t="s">
        <v>854</v>
      </c>
      <c r="D56" t="str">
        <f>_xlfn.XLOOKUP(ISIC_Rev_5_english_structure__1[[#This Row],[Column4]],INDUSTRYGROUP!$C$2:$C$23,INDUSTRYGROUP!$D$2:$D$23,"NONE")</f>
        <v>Agriculture, forestry and fishing</v>
      </c>
      <c r="E56" t="str">
        <f>_xlfn.XLOOKUP(LEFT(A56,2),SECTOR!$A$2:$A$88,SECTOR!$A$2:$A$88,"")</f>
        <v/>
      </c>
      <c r="F56" t="str">
        <f>_xlfn.XLOOKUP(LEFT(A56,2),SECTOR!$A$2:$A$88,SECTOR!$B$2:$B$88,"")</f>
        <v/>
      </c>
      <c r="G56" t="str">
        <f>_xlfn.XLOOKUP(LEFT(A56,3),INDUSTRY!$A$2:$A$259,INDUSTRY!$A$2:$A$259,"")</f>
        <v>032</v>
      </c>
      <c r="H56" t="str">
        <f>_xlfn.XLOOKUP(LEFT(A56,3),INDUSTRY!$A$2:$A$259,INDUSTRY!$B$2:$B$259,"")</f>
        <v>Aquaculture</v>
      </c>
      <c r="I56" t="str">
        <f t="shared" si="0"/>
        <v>0321</v>
      </c>
      <c r="J56" t="str">
        <f t="shared" si="1"/>
        <v>Marine aquaculture</v>
      </c>
    </row>
    <row r="57" spans="1:10" x14ac:dyDescent="0.25">
      <c r="A57" t="s">
        <v>955</v>
      </c>
      <c r="B57" t="s">
        <v>956</v>
      </c>
      <c r="C57" t="s">
        <v>854</v>
      </c>
      <c r="D57" t="str">
        <f>_xlfn.XLOOKUP(ISIC_Rev_5_english_structure__1[[#This Row],[Column4]],INDUSTRYGROUP!$C$2:$C$23,INDUSTRYGROUP!$D$2:$D$23,"NONE")</f>
        <v>Agriculture, forestry and fishing</v>
      </c>
      <c r="E57" t="str">
        <f>_xlfn.XLOOKUP(LEFT(A57,2),SECTOR!$A$2:$A$88,SECTOR!$A$2:$A$88,"")</f>
        <v/>
      </c>
      <c r="F57" t="str">
        <f>_xlfn.XLOOKUP(LEFT(A57,2),SECTOR!$A$2:$A$88,SECTOR!$B$2:$B$88,"")</f>
        <v/>
      </c>
      <c r="G57" t="str">
        <f>_xlfn.XLOOKUP(LEFT(A57,3),INDUSTRY!$A$2:$A$259,INDUSTRY!$A$2:$A$259,"")</f>
        <v>032</v>
      </c>
      <c r="H57" t="str">
        <f>_xlfn.XLOOKUP(LEFT(A57,3),INDUSTRY!$A$2:$A$259,INDUSTRY!$B$2:$B$259,"")</f>
        <v>Aquaculture</v>
      </c>
      <c r="I57" t="str">
        <f t="shared" si="0"/>
        <v>0322</v>
      </c>
      <c r="J57" t="str">
        <f t="shared" si="1"/>
        <v>Freshwater aquaculture</v>
      </c>
    </row>
    <row r="58" spans="1:10" x14ac:dyDescent="0.25">
      <c r="A58" t="s">
        <v>957</v>
      </c>
      <c r="B58" t="s">
        <v>958</v>
      </c>
      <c r="C58" t="s">
        <v>854</v>
      </c>
      <c r="D58" t="str">
        <f>_xlfn.XLOOKUP(ISIC_Rev_5_english_structure__1[[#This Row],[Column4]],INDUSTRYGROUP!$C$2:$C$23,INDUSTRYGROUP!$D$2:$D$23,"NONE")</f>
        <v>Agriculture, forestry and fishing</v>
      </c>
      <c r="E58" t="str">
        <f>_xlfn.XLOOKUP(LEFT(A58,2),SECTOR!$A$2:$A$88,SECTOR!$A$2:$A$88,"")</f>
        <v/>
      </c>
      <c r="F58" t="str">
        <f>_xlfn.XLOOKUP(LEFT(A58,2),SECTOR!$A$2:$A$88,SECTOR!$B$2:$B$88,"")</f>
        <v/>
      </c>
      <c r="G58" t="str">
        <f>_xlfn.XLOOKUP(LEFT(A58,3),INDUSTRY!$A$2:$A$259,INDUSTRY!$A$2:$A$259,"")</f>
        <v>033</v>
      </c>
      <c r="H58" t="str">
        <f>_xlfn.XLOOKUP(LEFT(A58,3),INDUSTRY!$A$2:$A$259,INDUSTRY!$B$2:$B$259,"")</f>
        <v>Support activities for fishing and aquaculture</v>
      </c>
      <c r="I58" t="str">
        <f t="shared" si="0"/>
        <v/>
      </c>
      <c r="J58" t="str">
        <f t="shared" si="1"/>
        <v/>
      </c>
    </row>
    <row r="59" spans="1:10" x14ac:dyDescent="0.25">
      <c r="A59" t="s">
        <v>959</v>
      </c>
      <c r="B59" t="s">
        <v>958</v>
      </c>
      <c r="C59" t="s">
        <v>854</v>
      </c>
      <c r="D59" t="str">
        <f>_xlfn.XLOOKUP(ISIC_Rev_5_english_structure__1[[#This Row],[Column4]],INDUSTRYGROUP!$C$2:$C$23,INDUSTRYGROUP!$D$2:$D$23,"NONE")</f>
        <v>Agriculture, forestry and fishing</v>
      </c>
      <c r="E59" t="str">
        <f>_xlfn.XLOOKUP(LEFT(A59,2),SECTOR!$A$2:$A$88,SECTOR!$A$2:$A$88,"")</f>
        <v/>
      </c>
      <c r="F59" t="str">
        <f>_xlfn.XLOOKUP(LEFT(A59,2),SECTOR!$A$2:$A$88,SECTOR!$B$2:$B$88,"")</f>
        <v/>
      </c>
      <c r="G59" t="str">
        <f>_xlfn.XLOOKUP(LEFT(A59,3),INDUSTRY!$A$2:$A$259,INDUSTRY!$A$2:$A$259,"")</f>
        <v>033</v>
      </c>
      <c r="H59" t="str">
        <f>_xlfn.XLOOKUP(LEFT(A59,3),INDUSTRY!$A$2:$A$259,INDUSTRY!$B$2:$B$259,"")</f>
        <v>Support activities for fishing and aquaculture</v>
      </c>
      <c r="I59" t="str">
        <f t="shared" si="0"/>
        <v>0330</v>
      </c>
      <c r="J59" t="str">
        <f t="shared" si="1"/>
        <v>Support activities for fishing and aquaculture</v>
      </c>
    </row>
    <row r="60" spans="1:10" x14ac:dyDescent="0.25">
      <c r="A60" t="s">
        <v>960</v>
      </c>
      <c r="B60" t="s">
        <v>961</v>
      </c>
      <c r="C60" t="s">
        <v>960</v>
      </c>
      <c r="D60" t="str">
        <f>_xlfn.XLOOKUP(ISIC_Rev_5_english_structure__1[[#This Row],[Column4]],INDUSTRYGROUP!$C$2:$C$23,INDUSTRYGROUP!$D$2:$D$23,"NONE")</f>
        <v>Mining and quarrying</v>
      </c>
      <c r="E60" t="str">
        <f>_xlfn.XLOOKUP(LEFT(A60,2),SECTOR!$A$2:$A$88,SECTOR!$A$2:$A$88,"")</f>
        <v>B</v>
      </c>
      <c r="F60" t="str">
        <f>_xlfn.XLOOKUP(LEFT(A60,2),SECTOR!$A$2:$A$88,SECTOR!$B$2:$B$88,"")</f>
        <v>Mining and quarrying</v>
      </c>
      <c r="G60" t="str">
        <f>_xlfn.XLOOKUP(LEFT(A60,3),INDUSTRY!$A$2:$A$259,INDUSTRY!$A$2:$A$259,"")</f>
        <v/>
      </c>
      <c r="H60" t="str">
        <f>_xlfn.XLOOKUP(LEFT(A60,3),INDUSTRY!$A$2:$A$259,INDUSTRY!$B$2:$B$259,"")</f>
        <v/>
      </c>
      <c r="I60" t="str">
        <f t="shared" si="0"/>
        <v/>
      </c>
      <c r="J60" t="str">
        <f t="shared" si="1"/>
        <v/>
      </c>
    </row>
    <row r="61" spans="1:10" x14ac:dyDescent="0.25">
      <c r="A61" t="s">
        <v>962</v>
      </c>
      <c r="B61" t="s">
        <v>963</v>
      </c>
      <c r="C61" t="s">
        <v>960</v>
      </c>
      <c r="D61" t="str">
        <f>_xlfn.XLOOKUP(ISIC_Rev_5_english_structure__1[[#This Row],[Column4]],INDUSTRYGROUP!$C$2:$C$23,INDUSTRYGROUP!$D$2:$D$23,"NONE")</f>
        <v>Mining and quarrying</v>
      </c>
      <c r="E61" t="str">
        <f>_xlfn.XLOOKUP(LEFT(A61,2),SECTOR!$A$2:$A$88,SECTOR!$A$2:$A$88,"")</f>
        <v/>
      </c>
      <c r="F61" t="str">
        <f>_xlfn.XLOOKUP(LEFT(A61,2),SECTOR!$A$2:$A$88,SECTOR!$B$2:$B$88,"")</f>
        <v/>
      </c>
      <c r="G61" t="str">
        <f>_xlfn.XLOOKUP(LEFT(A61,3),INDUSTRY!$A$2:$A$259,INDUSTRY!$A$2:$A$259,"")</f>
        <v/>
      </c>
      <c r="H61" t="str">
        <f>_xlfn.XLOOKUP(LEFT(A61,3),INDUSTRY!$A$2:$A$259,INDUSTRY!$B$2:$B$259,"")</f>
        <v/>
      </c>
      <c r="I61" t="str">
        <f t="shared" si="0"/>
        <v/>
      </c>
      <c r="J61" t="str">
        <f t="shared" si="1"/>
        <v/>
      </c>
    </row>
    <row r="62" spans="1:10" x14ac:dyDescent="0.25">
      <c r="A62" t="s">
        <v>964</v>
      </c>
      <c r="B62" t="s">
        <v>965</v>
      </c>
      <c r="C62" t="s">
        <v>960</v>
      </c>
      <c r="D62" t="str">
        <f>_xlfn.XLOOKUP(ISIC_Rev_5_english_structure__1[[#This Row],[Column4]],INDUSTRYGROUP!$C$2:$C$23,INDUSTRYGROUP!$D$2:$D$23,"NONE")</f>
        <v>Mining and quarrying</v>
      </c>
      <c r="E62" t="str">
        <f>_xlfn.XLOOKUP(LEFT(A62,2),SECTOR!$A$2:$A$88,SECTOR!$A$2:$A$88,"")</f>
        <v/>
      </c>
      <c r="F62" t="str">
        <f>_xlfn.XLOOKUP(LEFT(A62,2),SECTOR!$A$2:$A$88,SECTOR!$B$2:$B$88,"")</f>
        <v/>
      </c>
      <c r="G62" t="str">
        <f>_xlfn.XLOOKUP(LEFT(A62,3),INDUSTRY!$A$2:$A$259,INDUSTRY!$A$2:$A$259,"")</f>
        <v>051</v>
      </c>
      <c r="H62" t="str">
        <f>_xlfn.XLOOKUP(LEFT(A62,3),INDUSTRY!$A$2:$A$259,INDUSTRY!$B$2:$B$259,"")</f>
        <v>Mining of hard coal</v>
      </c>
      <c r="I62" t="str">
        <f t="shared" si="0"/>
        <v/>
      </c>
      <c r="J62" t="str">
        <f t="shared" si="1"/>
        <v/>
      </c>
    </row>
    <row r="63" spans="1:10" x14ac:dyDescent="0.25">
      <c r="A63" t="s">
        <v>966</v>
      </c>
      <c r="B63" t="s">
        <v>965</v>
      </c>
      <c r="C63" t="s">
        <v>960</v>
      </c>
      <c r="D63" t="str">
        <f>_xlfn.XLOOKUP(ISIC_Rev_5_english_structure__1[[#This Row],[Column4]],INDUSTRYGROUP!$C$2:$C$23,INDUSTRYGROUP!$D$2:$D$23,"NONE")</f>
        <v>Mining and quarrying</v>
      </c>
      <c r="E63" t="str">
        <f>_xlfn.XLOOKUP(LEFT(A63,2),SECTOR!$A$2:$A$88,SECTOR!$A$2:$A$88,"")</f>
        <v/>
      </c>
      <c r="F63" t="str">
        <f>_xlfn.XLOOKUP(LEFT(A63,2),SECTOR!$A$2:$A$88,SECTOR!$B$2:$B$88,"")</f>
        <v/>
      </c>
      <c r="G63" t="str">
        <f>_xlfn.XLOOKUP(LEFT(A63,3),INDUSTRY!$A$2:$A$259,INDUSTRY!$A$2:$A$259,"")</f>
        <v>051</v>
      </c>
      <c r="H63" t="str">
        <f>_xlfn.XLOOKUP(LEFT(A63,3),INDUSTRY!$A$2:$A$259,INDUSTRY!$B$2:$B$259,"")</f>
        <v>Mining of hard coal</v>
      </c>
      <c r="I63" t="str">
        <f t="shared" si="0"/>
        <v>0510</v>
      </c>
      <c r="J63" t="str">
        <f t="shared" si="1"/>
        <v>Mining of hard coal</v>
      </c>
    </row>
    <row r="64" spans="1:10" x14ac:dyDescent="0.25">
      <c r="A64" t="s">
        <v>967</v>
      </c>
      <c r="B64" t="s">
        <v>968</v>
      </c>
      <c r="C64" t="s">
        <v>960</v>
      </c>
      <c r="D64" t="str">
        <f>_xlfn.XLOOKUP(ISIC_Rev_5_english_structure__1[[#This Row],[Column4]],INDUSTRYGROUP!$C$2:$C$23,INDUSTRYGROUP!$D$2:$D$23,"NONE")</f>
        <v>Mining and quarrying</v>
      </c>
      <c r="E64" t="str">
        <f>_xlfn.XLOOKUP(LEFT(A64,2),SECTOR!$A$2:$A$88,SECTOR!$A$2:$A$88,"")</f>
        <v/>
      </c>
      <c r="F64" t="str">
        <f>_xlfn.XLOOKUP(LEFT(A64,2),SECTOR!$A$2:$A$88,SECTOR!$B$2:$B$88,"")</f>
        <v/>
      </c>
      <c r="G64" t="str">
        <f>_xlfn.XLOOKUP(LEFT(A64,3),INDUSTRY!$A$2:$A$259,INDUSTRY!$A$2:$A$259,"")</f>
        <v>052</v>
      </c>
      <c r="H64" t="str">
        <f>_xlfn.XLOOKUP(LEFT(A64,3),INDUSTRY!$A$2:$A$259,INDUSTRY!$B$2:$B$259,"")</f>
        <v>Mining of lignite</v>
      </c>
      <c r="I64" t="str">
        <f t="shared" si="0"/>
        <v/>
      </c>
      <c r="J64" t="str">
        <f t="shared" si="1"/>
        <v/>
      </c>
    </row>
    <row r="65" spans="1:10" x14ac:dyDescent="0.25">
      <c r="A65" t="s">
        <v>969</v>
      </c>
      <c r="B65" t="s">
        <v>968</v>
      </c>
      <c r="C65" t="s">
        <v>960</v>
      </c>
      <c r="D65" t="str">
        <f>_xlfn.XLOOKUP(ISIC_Rev_5_english_structure__1[[#This Row],[Column4]],INDUSTRYGROUP!$C$2:$C$23,INDUSTRYGROUP!$D$2:$D$23,"NONE")</f>
        <v>Mining and quarrying</v>
      </c>
      <c r="E65" t="str">
        <f>_xlfn.XLOOKUP(LEFT(A65,2),SECTOR!$A$2:$A$88,SECTOR!$A$2:$A$88,"")</f>
        <v/>
      </c>
      <c r="F65" t="str">
        <f>_xlfn.XLOOKUP(LEFT(A65,2),SECTOR!$A$2:$A$88,SECTOR!$B$2:$B$88,"")</f>
        <v/>
      </c>
      <c r="G65" t="str">
        <f>_xlfn.XLOOKUP(LEFT(A65,3),INDUSTRY!$A$2:$A$259,INDUSTRY!$A$2:$A$259,"")</f>
        <v>052</v>
      </c>
      <c r="H65" t="str">
        <f>_xlfn.XLOOKUP(LEFT(A65,3),INDUSTRY!$A$2:$A$259,INDUSTRY!$B$2:$B$259,"")</f>
        <v>Mining of lignite</v>
      </c>
      <c r="I65" t="str">
        <f t="shared" si="0"/>
        <v>0520</v>
      </c>
      <c r="J65" t="str">
        <f t="shared" si="1"/>
        <v>Mining of lignite</v>
      </c>
    </row>
    <row r="66" spans="1:10" x14ac:dyDescent="0.25">
      <c r="A66" t="s">
        <v>970</v>
      </c>
      <c r="B66" t="s">
        <v>971</v>
      </c>
      <c r="C66" t="s">
        <v>960</v>
      </c>
      <c r="D66" t="str">
        <f>_xlfn.XLOOKUP(ISIC_Rev_5_english_structure__1[[#This Row],[Column4]],INDUSTRYGROUP!$C$2:$C$23,INDUSTRYGROUP!$D$2:$D$23,"NONE")</f>
        <v>Mining and quarrying</v>
      </c>
      <c r="E66" t="str">
        <f>_xlfn.XLOOKUP(LEFT(A66,2),SECTOR!$A$2:$A$88,SECTOR!$A$2:$A$88,"")</f>
        <v/>
      </c>
      <c r="F66" t="str">
        <f>_xlfn.XLOOKUP(LEFT(A66,2),SECTOR!$A$2:$A$88,SECTOR!$B$2:$B$88,"")</f>
        <v/>
      </c>
      <c r="G66" t="str">
        <f>_xlfn.XLOOKUP(LEFT(A66,3),INDUSTRY!$A$2:$A$259,INDUSTRY!$A$2:$A$259,"")</f>
        <v/>
      </c>
      <c r="H66" t="str">
        <f>_xlfn.XLOOKUP(LEFT(A66,3),INDUSTRY!$A$2:$A$259,INDUSTRY!$B$2:$B$259,"")</f>
        <v/>
      </c>
      <c r="I66" t="str">
        <f t="shared" ref="I66:I129" si="2">IF(LEN(A66)=4,A66,"")</f>
        <v/>
      </c>
      <c r="J66" t="str">
        <f t="shared" ref="J66:J129" si="3">IF(LEN(A66)=4,B66,"")</f>
        <v/>
      </c>
    </row>
    <row r="67" spans="1:10" x14ac:dyDescent="0.25">
      <c r="A67" t="s">
        <v>972</v>
      </c>
      <c r="B67" t="s">
        <v>973</v>
      </c>
      <c r="C67" t="s">
        <v>960</v>
      </c>
      <c r="D67" t="str">
        <f>_xlfn.XLOOKUP(ISIC_Rev_5_english_structure__1[[#This Row],[Column4]],INDUSTRYGROUP!$C$2:$C$23,INDUSTRYGROUP!$D$2:$D$23,"NONE")</f>
        <v>Mining and quarrying</v>
      </c>
      <c r="E67" t="str">
        <f>_xlfn.XLOOKUP(LEFT(A67,2),SECTOR!$A$2:$A$88,SECTOR!$A$2:$A$88,"")</f>
        <v/>
      </c>
      <c r="F67" t="str">
        <f>_xlfn.XLOOKUP(LEFT(A67,2),SECTOR!$A$2:$A$88,SECTOR!$B$2:$B$88,"")</f>
        <v/>
      </c>
      <c r="G67" t="str">
        <f>_xlfn.XLOOKUP(LEFT(A67,3),INDUSTRY!$A$2:$A$259,INDUSTRY!$A$2:$A$259,"")</f>
        <v>061</v>
      </c>
      <c r="H67" t="str">
        <f>_xlfn.XLOOKUP(LEFT(A67,3),INDUSTRY!$A$2:$A$259,INDUSTRY!$B$2:$B$259,"")</f>
        <v>Extraction of crude petroleum</v>
      </c>
      <c r="I67" t="str">
        <f t="shared" si="2"/>
        <v/>
      </c>
      <c r="J67" t="str">
        <f t="shared" si="3"/>
        <v/>
      </c>
    </row>
    <row r="68" spans="1:10" x14ac:dyDescent="0.25">
      <c r="A68" t="s">
        <v>974</v>
      </c>
      <c r="B68" t="s">
        <v>973</v>
      </c>
      <c r="C68" t="s">
        <v>960</v>
      </c>
      <c r="D68" t="str">
        <f>_xlfn.XLOOKUP(ISIC_Rev_5_english_structure__1[[#This Row],[Column4]],INDUSTRYGROUP!$C$2:$C$23,INDUSTRYGROUP!$D$2:$D$23,"NONE")</f>
        <v>Mining and quarrying</v>
      </c>
      <c r="E68" t="str">
        <f>_xlfn.XLOOKUP(LEFT(A68,2),SECTOR!$A$2:$A$88,SECTOR!$A$2:$A$88,"")</f>
        <v/>
      </c>
      <c r="F68" t="str">
        <f>_xlfn.XLOOKUP(LEFT(A68,2),SECTOR!$A$2:$A$88,SECTOR!$B$2:$B$88,"")</f>
        <v/>
      </c>
      <c r="G68" t="str">
        <f>_xlfn.XLOOKUP(LEFT(A68,3),INDUSTRY!$A$2:$A$259,INDUSTRY!$A$2:$A$259,"")</f>
        <v>061</v>
      </c>
      <c r="H68" t="str">
        <f>_xlfn.XLOOKUP(LEFT(A68,3),INDUSTRY!$A$2:$A$259,INDUSTRY!$B$2:$B$259,"")</f>
        <v>Extraction of crude petroleum</v>
      </c>
      <c r="I68" t="str">
        <f t="shared" si="2"/>
        <v>0610</v>
      </c>
      <c r="J68" t="str">
        <f t="shared" si="3"/>
        <v>Extraction of crude petroleum</v>
      </c>
    </row>
    <row r="69" spans="1:10" x14ac:dyDescent="0.25">
      <c r="A69" t="s">
        <v>975</v>
      </c>
      <c r="B69" t="s">
        <v>976</v>
      </c>
      <c r="C69" t="s">
        <v>960</v>
      </c>
      <c r="D69" t="str">
        <f>_xlfn.XLOOKUP(ISIC_Rev_5_english_structure__1[[#This Row],[Column4]],INDUSTRYGROUP!$C$2:$C$23,INDUSTRYGROUP!$D$2:$D$23,"NONE")</f>
        <v>Mining and quarrying</v>
      </c>
      <c r="E69" t="str">
        <f>_xlfn.XLOOKUP(LEFT(A69,2),SECTOR!$A$2:$A$88,SECTOR!$A$2:$A$88,"")</f>
        <v/>
      </c>
      <c r="F69" t="str">
        <f>_xlfn.XLOOKUP(LEFT(A69,2),SECTOR!$A$2:$A$88,SECTOR!$B$2:$B$88,"")</f>
        <v/>
      </c>
      <c r="G69" t="str">
        <f>_xlfn.XLOOKUP(LEFT(A69,3),INDUSTRY!$A$2:$A$259,INDUSTRY!$A$2:$A$259,"")</f>
        <v>062</v>
      </c>
      <c r="H69" t="str">
        <f>_xlfn.XLOOKUP(LEFT(A69,3),INDUSTRY!$A$2:$A$259,INDUSTRY!$B$2:$B$259,"")</f>
        <v>Extraction of natural gas</v>
      </c>
      <c r="I69" t="str">
        <f t="shared" si="2"/>
        <v/>
      </c>
      <c r="J69" t="str">
        <f t="shared" si="3"/>
        <v/>
      </c>
    </row>
    <row r="70" spans="1:10" x14ac:dyDescent="0.25">
      <c r="A70" t="s">
        <v>977</v>
      </c>
      <c r="B70" t="s">
        <v>976</v>
      </c>
      <c r="C70" t="s">
        <v>960</v>
      </c>
      <c r="D70" t="str">
        <f>_xlfn.XLOOKUP(ISIC_Rev_5_english_structure__1[[#This Row],[Column4]],INDUSTRYGROUP!$C$2:$C$23,INDUSTRYGROUP!$D$2:$D$23,"NONE")</f>
        <v>Mining and quarrying</v>
      </c>
      <c r="E70" t="str">
        <f>_xlfn.XLOOKUP(LEFT(A70,2),SECTOR!$A$2:$A$88,SECTOR!$A$2:$A$88,"")</f>
        <v/>
      </c>
      <c r="F70" t="str">
        <f>_xlfn.XLOOKUP(LEFT(A70,2),SECTOR!$A$2:$A$88,SECTOR!$B$2:$B$88,"")</f>
        <v/>
      </c>
      <c r="G70" t="str">
        <f>_xlfn.XLOOKUP(LEFT(A70,3),INDUSTRY!$A$2:$A$259,INDUSTRY!$A$2:$A$259,"")</f>
        <v>062</v>
      </c>
      <c r="H70" t="str">
        <f>_xlfn.XLOOKUP(LEFT(A70,3),INDUSTRY!$A$2:$A$259,INDUSTRY!$B$2:$B$259,"")</f>
        <v>Extraction of natural gas</v>
      </c>
      <c r="I70" t="str">
        <f t="shared" si="2"/>
        <v>0620</v>
      </c>
      <c r="J70" t="str">
        <f t="shared" si="3"/>
        <v>Extraction of natural gas</v>
      </c>
    </row>
    <row r="71" spans="1:10" x14ac:dyDescent="0.25">
      <c r="A71" t="s">
        <v>978</v>
      </c>
      <c r="B71" t="s">
        <v>979</v>
      </c>
      <c r="C71" t="s">
        <v>960</v>
      </c>
      <c r="D71" t="str">
        <f>_xlfn.XLOOKUP(ISIC_Rev_5_english_structure__1[[#This Row],[Column4]],INDUSTRYGROUP!$C$2:$C$23,INDUSTRYGROUP!$D$2:$D$23,"NONE")</f>
        <v>Mining and quarrying</v>
      </c>
      <c r="E71" t="str">
        <f>_xlfn.XLOOKUP(LEFT(A71,2),SECTOR!$A$2:$A$88,SECTOR!$A$2:$A$88,"")</f>
        <v/>
      </c>
      <c r="F71" t="str">
        <f>_xlfn.XLOOKUP(LEFT(A71,2),SECTOR!$A$2:$A$88,SECTOR!$B$2:$B$88,"")</f>
        <v/>
      </c>
      <c r="G71" t="str">
        <f>_xlfn.XLOOKUP(LEFT(A71,3),INDUSTRY!$A$2:$A$259,INDUSTRY!$A$2:$A$259,"")</f>
        <v/>
      </c>
      <c r="H71" t="str">
        <f>_xlfn.XLOOKUP(LEFT(A71,3),INDUSTRY!$A$2:$A$259,INDUSTRY!$B$2:$B$259,"")</f>
        <v/>
      </c>
      <c r="I71" t="str">
        <f t="shared" si="2"/>
        <v/>
      </c>
      <c r="J71" t="str">
        <f t="shared" si="3"/>
        <v/>
      </c>
    </row>
    <row r="72" spans="1:10" x14ac:dyDescent="0.25">
      <c r="A72" t="s">
        <v>980</v>
      </c>
      <c r="B72" t="s">
        <v>981</v>
      </c>
      <c r="C72" t="s">
        <v>960</v>
      </c>
      <c r="D72" t="str">
        <f>_xlfn.XLOOKUP(ISIC_Rev_5_english_structure__1[[#This Row],[Column4]],INDUSTRYGROUP!$C$2:$C$23,INDUSTRYGROUP!$D$2:$D$23,"NONE")</f>
        <v>Mining and quarrying</v>
      </c>
      <c r="E72" t="str">
        <f>_xlfn.XLOOKUP(LEFT(A72,2),SECTOR!$A$2:$A$88,SECTOR!$A$2:$A$88,"")</f>
        <v/>
      </c>
      <c r="F72" t="str">
        <f>_xlfn.XLOOKUP(LEFT(A72,2),SECTOR!$A$2:$A$88,SECTOR!$B$2:$B$88,"")</f>
        <v/>
      </c>
      <c r="G72" t="str">
        <f>_xlfn.XLOOKUP(LEFT(A72,3),INDUSTRY!$A$2:$A$259,INDUSTRY!$A$2:$A$259,"")</f>
        <v>071</v>
      </c>
      <c r="H72" t="str">
        <f>_xlfn.XLOOKUP(LEFT(A72,3),INDUSTRY!$A$2:$A$259,INDUSTRY!$B$2:$B$259,"")</f>
        <v>Mining of iron ores</v>
      </c>
      <c r="I72" t="str">
        <f t="shared" si="2"/>
        <v/>
      </c>
      <c r="J72" t="str">
        <f t="shared" si="3"/>
        <v/>
      </c>
    </row>
    <row r="73" spans="1:10" x14ac:dyDescent="0.25">
      <c r="A73" t="s">
        <v>982</v>
      </c>
      <c r="B73" t="s">
        <v>981</v>
      </c>
      <c r="C73" t="s">
        <v>960</v>
      </c>
      <c r="D73" t="str">
        <f>_xlfn.XLOOKUP(ISIC_Rev_5_english_structure__1[[#This Row],[Column4]],INDUSTRYGROUP!$C$2:$C$23,INDUSTRYGROUP!$D$2:$D$23,"NONE")</f>
        <v>Mining and quarrying</v>
      </c>
      <c r="E73" t="str">
        <f>_xlfn.XLOOKUP(LEFT(A73,2),SECTOR!$A$2:$A$88,SECTOR!$A$2:$A$88,"")</f>
        <v/>
      </c>
      <c r="F73" t="str">
        <f>_xlfn.XLOOKUP(LEFT(A73,2),SECTOR!$A$2:$A$88,SECTOR!$B$2:$B$88,"")</f>
        <v/>
      </c>
      <c r="G73" t="str">
        <f>_xlfn.XLOOKUP(LEFT(A73,3),INDUSTRY!$A$2:$A$259,INDUSTRY!$A$2:$A$259,"")</f>
        <v>071</v>
      </c>
      <c r="H73" t="str">
        <f>_xlfn.XLOOKUP(LEFT(A73,3),INDUSTRY!$A$2:$A$259,INDUSTRY!$B$2:$B$259,"")</f>
        <v>Mining of iron ores</v>
      </c>
      <c r="I73" t="str">
        <f t="shared" si="2"/>
        <v>0710</v>
      </c>
      <c r="J73" t="str">
        <f t="shared" si="3"/>
        <v>Mining of iron ores</v>
      </c>
    </row>
    <row r="74" spans="1:10" x14ac:dyDescent="0.25">
      <c r="A74" t="s">
        <v>983</v>
      </c>
      <c r="B74" t="s">
        <v>984</v>
      </c>
      <c r="C74" t="s">
        <v>960</v>
      </c>
      <c r="D74" t="str">
        <f>_xlfn.XLOOKUP(ISIC_Rev_5_english_structure__1[[#This Row],[Column4]],INDUSTRYGROUP!$C$2:$C$23,INDUSTRYGROUP!$D$2:$D$23,"NONE")</f>
        <v>Mining and quarrying</v>
      </c>
      <c r="E74" t="str">
        <f>_xlfn.XLOOKUP(LEFT(A74,2),SECTOR!$A$2:$A$88,SECTOR!$A$2:$A$88,"")</f>
        <v/>
      </c>
      <c r="F74" t="str">
        <f>_xlfn.XLOOKUP(LEFT(A74,2),SECTOR!$A$2:$A$88,SECTOR!$B$2:$B$88,"")</f>
        <v/>
      </c>
      <c r="G74" t="str">
        <f>_xlfn.XLOOKUP(LEFT(A74,3),INDUSTRY!$A$2:$A$259,INDUSTRY!$A$2:$A$259,"")</f>
        <v>072</v>
      </c>
      <c r="H74" t="str">
        <f>_xlfn.XLOOKUP(LEFT(A74,3),INDUSTRY!$A$2:$A$259,INDUSTRY!$B$2:$B$259,"")</f>
        <v>Mining of non-ferrous metal ores</v>
      </c>
      <c r="I74" t="str">
        <f t="shared" si="2"/>
        <v/>
      </c>
      <c r="J74" t="str">
        <f t="shared" si="3"/>
        <v/>
      </c>
    </row>
    <row r="75" spans="1:10" x14ac:dyDescent="0.25">
      <c r="A75" t="s">
        <v>985</v>
      </c>
      <c r="B75" t="s">
        <v>986</v>
      </c>
      <c r="C75" t="s">
        <v>960</v>
      </c>
      <c r="D75" t="str">
        <f>_xlfn.XLOOKUP(ISIC_Rev_5_english_structure__1[[#This Row],[Column4]],INDUSTRYGROUP!$C$2:$C$23,INDUSTRYGROUP!$D$2:$D$23,"NONE")</f>
        <v>Mining and quarrying</v>
      </c>
      <c r="E75" t="str">
        <f>_xlfn.XLOOKUP(LEFT(A75,2),SECTOR!$A$2:$A$88,SECTOR!$A$2:$A$88,"")</f>
        <v/>
      </c>
      <c r="F75" t="str">
        <f>_xlfn.XLOOKUP(LEFT(A75,2),SECTOR!$A$2:$A$88,SECTOR!$B$2:$B$88,"")</f>
        <v/>
      </c>
      <c r="G75" t="str">
        <f>_xlfn.XLOOKUP(LEFT(A75,3),INDUSTRY!$A$2:$A$259,INDUSTRY!$A$2:$A$259,"")</f>
        <v>072</v>
      </c>
      <c r="H75" t="str">
        <f>_xlfn.XLOOKUP(LEFT(A75,3),INDUSTRY!$A$2:$A$259,INDUSTRY!$B$2:$B$259,"")</f>
        <v>Mining of non-ferrous metal ores</v>
      </c>
      <c r="I75" t="str">
        <f t="shared" si="2"/>
        <v>0721</v>
      </c>
      <c r="J75" t="str">
        <f t="shared" si="3"/>
        <v>Mining of uranium and thorium ores</v>
      </c>
    </row>
    <row r="76" spans="1:10" x14ac:dyDescent="0.25">
      <c r="A76" t="s">
        <v>987</v>
      </c>
      <c r="B76" t="s">
        <v>988</v>
      </c>
      <c r="C76" t="s">
        <v>960</v>
      </c>
      <c r="D76" t="str">
        <f>_xlfn.XLOOKUP(ISIC_Rev_5_english_structure__1[[#This Row],[Column4]],INDUSTRYGROUP!$C$2:$C$23,INDUSTRYGROUP!$D$2:$D$23,"NONE")</f>
        <v>Mining and quarrying</v>
      </c>
      <c r="E76" t="str">
        <f>_xlfn.XLOOKUP(LEFT(A76,2),SECTOR!$A$2:$A$88,SECTOR!$A$2:$A$88,"")</f>
        <v/>
      </c>
      <c r="F76" t="str">
        <f>_xlfn.XLOOKUP(LEFT(A76,2),SECTOR!$A$2:$A$88,SECTOR!$B$2:$B$88,"")</f>
        <v/>
      </c>
      <c r="G76" t="str">
        <f>_xlfn.XLOOKUP(LEFT(A76,3),INDUSTRY!$A$2:$A$259,INDUSTRY!$A$2:$A$259,"")</f>
        <v>072</v>
      </c>
      <c r="H76" t="str">
        <f>_xlfn.XLOOKUP(LEFT(A76,3),INDUSTRY!$A$2:$A$259,INDUSTRY!$B$2:$B$259,"")</f>
        <v>Mining of non-ferrous metal ores</v>
      </c>
      <c r="I76" t="str">
        <f t="shared" si="2"/>
        <v>0729</v>
      </c>
      <c r="J76" t="str">
        <f t="shared" si="3"/>
        <v>Mining of other non-ferrous metal ores</v>
      </c>
    </row>
    <row r="77" spans="1:10" x14ac:dyDescent="0.25">
      <c r="A77" t="s">
        <v>989</v>
      </c>
      <c r="B77" t="s">
        <v>990</v>
      </c>
      <c r="C77" t="s">
        <v>960</v>
      </c>
      <c r="D77" t="str">
        <f>_xlfn.XLOOKUP(ISIC_Rev_5_english_structure__1[[#This Row],[Column4]],INDUSTRYGROUP!$C$2:$C$23,INDUSTRYGROUP!$D$2:$D$23,"NONE")</f>
        <v>Mining and quarrying</v>
      </c>
      <c r="E77" t="str">
        <f>_xlfn.XLOOKUP(LEFT(A77,2),SECTOR!$A$2:$A$88,SECTOR!$A$2:$A$88,"")</f>
        <v/>
      </c>
      <c r="F77" t="str">
        <f>_xlfn.XLOOKUP(LEFT(A77,2),SECTOR!$A$2:$A$88,SECTOR!$B$2:$B$88,"")</f>
        <v/>
      </c>
      <c r="G77" t="str">
        <f>_xlfn.XLOOKUP(LEFT(A77,3),INDUSTRY!$A$2:$A$259,INDUSTRY!$A$2:$A$259,"")</f>
        <v/>
      </c>
      <c r="H77" t="str">
        <f>_xlfn.XLOOKUP(LEFT(A77,3),INDUSTRY!$A$2:$A$259,INDUSTRY!$B$2:$B$259,"")</f>
        <v/>
      </c>
      <c r="I77" t="str">
        <f t="shared" si="2"/>
        <v/>
      </c>
      <c r="J77" t="str">
        <f t="shared" si="3"/>
        <v/>
      </c>
    </row>
    <row r="78" spans="1:10" x14ac:dyDescent="0.25">
      <c r="A78" t="s">
        <v>991</v>
      </c>
      <c r="B78" t="s">
        <v>992</v>
      </c>
      <c r="C78" t="s">
        <v>960</v>
      </c>
      <c r="D78" t="str">
        <f>_xlfn.XLOOKUP(ISIC_Rev_5_english_structure__1[[#This Row],[Column4]],INDUSTRYGROUP!$C$2:$C$23,INDUSTRYGROUP!$D$2:$D$23,"NONE")</f>
        <v>Mining and quarrying</v>
      </c>
      <c r="E78" t="str">
        <f>_xlfn.XLOOKUP(LEFT(A78,2),SECTOR!$A$2:$A$88,SECTOR!$A$2:$A$88,"")</f>
        <v/>
      </c>
      <c r="F78" t="str">
        <f>_xlfn.XLOOKUP(LEFT(A78,2),SECTOR!$A$2:$A$88,SECTOR!$B$2:$B$88,"")</f>
        <v/>
      </c>
      <c r="G78" t="str">
        <f>_xlfn.XLOOKUP(LEFT(A78,3),INDUSTRY!$A$2:$A$259,INDUSTRY!$A$2:$A$259,"")</f>
        <v>081</v>
      </c>
      <c r="H78" t="str">
        <f>_xlfn.XLOOKUP(LEFT(A78,3),INDUSTRY!$A$2:$A$259,INDUSTRY!$B$2:$B$259,"")</f>
        <v>Quarrying of stone, sand and clay</v>
      </c>
      <c r="I78" t="str">
        <f t="shared" si="2"/>
        <v/>
      </c>
      <c r="J78" t="str">
        <f t="shared" si="3"/>
        <v/>
      </c>
    </row>
    <row r="79" spans="1:10" x14ac:dyDescent="0.25">
      <c r="A79" t="s">
        <v>993</v>
      </c>
      <c r="B79" t="s">
        <v>992</v>
      </c>
      <c r="C79" t="s">
        <v>960</v>
      </c>
      <c r="D79" t="str">
        <f>_xlfn.XLOOKUP(ISIC_Rev_5_english_structure__1[[#This Row],[Column4]],INDUSTRYGROUP!$C$2:$C$23,INDUSTRYGROUP!$D$2:$D$23,"NONE")</f>
        <v>Mining and quarrying</v>
      </c>
      <c r="E79" t="str">
        <f>_xlfn.XLOOKUP(LEFT(A79,2),SECTOR!$A$2:$A$88,SECTOR!$A$2:$A$88,"")</f>
        <v/>
      </c>
      <c r="F79" t="str">
        <f>_xlfn.XLOOKUP(LEFT(A79,2),SECTOR!$A$2:$A$88,SECTOR!$B$2:$B$88,"")</f>
        <v/>
      </c>
      <c r="G79" t="str">
        <f>_xlfn.XLOOKUP(LEFT(A79,3),INDUSTRY!$A$2:$A$259,INDUSTRY!$A$2:$A$259,"")</f>
        <v>081</v>
      </c>
      <c r="H79" t="str">
        <f>_xlfn.XLOOKUP(LEFT(A79,3),INDUSTRY!$A$2:$A$259,INDUSTRY!$B$2:$B$259,"")</f>
        <v>Quarrying of stone, sand and clay</v>
      </c>
      <c r="I79" t="str">
        <f t="shared" si="2"/>
        <v>0810</v>
      </c>
      <c r="J79" t="str">
        <f t="shared" si="3"/>
        <v>Quarrying of stone, sand and clay</v>
      </c>
    </row>
    <row r="80" spans="1:10" x14ac:dyDescent="0.25">
      <c r="A80" t="s">
        <v>994</v>
      </c>
      <c r="B80" t="s">
        <v>995</v>
      </c>
      <c r="C80" t="s">
        <v>960</v>
      </c>
      <c r="D80" t="str">
        <f>_xlfn.XLOOKUP(ISIC_Rev_5_english_structure__1[[#This Row],[Column4]],INDUSTRYGROUP!$C$2:$C$23,INDUSTRYGROUP!$D$2:$D$23,"NONE")</f>
        <v>Mining and quarrying</v>
      </c>
      <c r="E80" t="str">
        <f>_xlfn.XLOOKUP(LEFT(A80,2),SECTOR!$A$2:$A$88,SECTOR!$A$2:$A$88,"")</f>
        <v/>
      </c>
      <c r="F80" t="str">
        <f>_xlfn.XLOOKUP(LEFT(A80,2),SECTOR!$A$2:$A$88,SECTOR!$B$2:$B$88,"")</f>
        <v/>
      </c>
      <c r="G80" t="str">
        <f>_xlfn.XLOOKUP(LEFT(A80,3),INDUSTRY!$A$2:$A$259,INDUSTRY!$A$2:$A$259,"")</f>
        <v>089</v>
      </c>
      <c r="H80" t="str">
        <f>_xlfn.XLOOKUP(LEFT(A80,3),INDUSTRY!$A$2:$A$259,INDUSTRY!$B$2:$B$259,"")</f>
        <v>Mining and quarrying n.e.c.</v>
      </c>
      <c r="I80" t="str">
        <f t="shared" si="2"/>
        <v/>
      </c>
      <c r="J80" t="str">
        <f t="shared" si="3"/>
        <v/>
      </c>
    </row>
    <row r="81" spans="1:10" x14ac:dyDescent="0.25">
      <c r="A81" t="s">
        <v>996</v>
      </c>
      <c r="B81" t="s">
        <v>997</v>
      </c>
      <c r="C81" t="s">
        <v>960</v>
      </c>
      <c r="D81" t="str">
        <f>_xlfn.XLOOKUP(ISIC_Rev_5_english_structure__1[[#This Row],[Column4]],INDUSTRYGROUP!$C$2:$C$23,INDUSTRYGROUP!$D$2:$D$23,"NONE")</f>
        <v>Mining and quarrying</v>
      </c>
      <c r="E81" t="str">
        <f>_xlfn.XLOOKUP(LEFT(A81,2),SECTOR!$A$2:$A$88,SECTOR!$A$2:$A$88,"")</f>
        <v/>
      </c>
      <c r="F81" t="str">
        <f>_xlfn.XLOOKUP(LEFT(A81,2),SECTOR!$A$2:$A$88,SECTOR!$B$2:$B$88,"")</f>
        <v/>
      </c>
      <c r="G81" t="str">
        <f>_xlfn.XLOOKUP(LEFT(A81,3),INDUSTRY!$A$2:$A$259,INDUSTRY!$A$2:$A$259,"")</f>
        <v>089</v>
      </c>
      <c r="H81" t="str">
        <f>_xlfn.XLOOKUP(LEFT(A81,3),INDUSTRY!$A$2:$A$259,INDUSTRY!$B$2:$B$259,"")</f>
        <v>Mining and quarrying n.e.c.</v>
      </c>
      <c r="I81" t="str">
        <f t="shared" si="2"/>
        <v>0891</v>
      </c>
      <c r="J81" t="str">
        <f t="shared" si="3"/>
        <v>Mining of chemical and fertilizer minerals</v>
      </c>
    </row>
    <row r="82" spans="1:10" x14ac:dyDescent="0.25">
      <c r="A82" t="s">
        <v>998</v>
      </c>
      <c r="B82" t="s">
        <v>999</v>
      </c>
      <c r="C82" t="s">
        <v>960</v>
      </c>
      <c r="D82" t="str">
        <f>_xlfn.XLOOKUP(ISIC_Rev_5_english_structure__1[[#This Row],[Column4]],INDUSTRYGROUP!$C$2:$C$23,INDUSTRYGROUP!$D$2:$D$23,"NONE")</f>
        <v>Mining and quarrying</v>
      </c>
      <c r="E82" t="str">
        <f>_xlfn.XLOOKUP(LEFT(A82,2),SECTOR!$A$2:$A$88,SECTOR!$A$2:$A$88,"")</f>
        <v/>
      </c>
      <c r="F82" t="str">
        <f>_xlfn.XLOOKUP(LEFT(A82,2),SECTOR!$A$2:$A$88,SECTOR!$B$2:$B$88,"")</f>
        <v/>
      </c>
      <c r="G82" t="str">
        <f>_xlfn.XLOOKUP(LEFT(A82,3),INDUSTRY!$A$2:$A$259,INDUSTRY!$A$2:$A$259,"")</f>
        <v>089</v>
      </c>
      <c r="H82" t="str">
        <f>_xlfn.XLOOKUP(LEFT(A82,3),INDUSTRY!$A$2:$A$259,INDUSTRY!$B$2:$B$259,"")</f>
        <v>Mining and quarrying n.e.c.</v>
      </c>
      <c r="I82" t="str">
        <f t="shared" si="2"/>
        <v>0892</v>
      </c>
      <c r="J82" t="str">
        <f t="shared" si="3"/>
        <v>Extraction of peat</v>
      </c>
    </row>
    <row r="83" spans="1:10" x14ac:dyDescent="0.25">
      <c r="A83" t="s">
        <v>1000</v>
      </c>
      <c r="B83" t="s">
        <v>1001</v>
      </c>
      <c r="C83" t="s">
        <v>960</v>
      </c>
      <c r="D83" t="str">
        <f>_xlfn.XLOOKUP(ISIC_Rev_5_english_structure__1[[#This Row],[Column4]],INDUSTRYGROUP!$C$2:$C$23,INDUSTRYGROUP!$D$2:$D$23,"NONE")</f>
        <v>Mining and quarrying</v>
      </c>
      <c r="E83" t="str">
        <f>_xlfn.XLOOKUP(LEFT(A83,2),SECTOR!$A$2:$A$88,SECTOR!$A$2:$A$88,"")</f>
        <v/>
      </c>
      <c r="F83" t="str">
        <f>_xlfn.XLOOKUP(LEFT(A83,2),SECTOR!$A$2:$A$88,SECTOR!$B$2:$B$88,"")</f>
        <v/>
      </c>
      <c r="G83" t="str">
        <f>_xlfn.XLOOKUP(LEFT(A83,3),INDUSTRY!$A$2:$A$259,INDUSTRY!$A$2:$A$259,"")</f>
        <v>089</v>
      </c>
      <c r="H83" t="str">
        <f>_xlfn.XLOOKUP(LEFT(A83,3),INDUSTRY!$A$2:$A$259,INDUSTRY!$B$2:$B$259,"")</f>
        <v>Mining and quarrying n.e.c.</v>
      </c>
      <c r="I83" t="str">
        <f t="shared" si="2"/>
        <v>0893</v>
      </c>
      <c r="J83" t="str">
        <f t="shared" si="3"/>
        <v>Extraction of salt</v>
      </c>
    </row>
    <row r="84" spans="1:10" x14ac:dyDescent="0.25">
      <c r="A84" t="s">
        <v>1002</v>
      </c>
      <c r="B84" t="s">
        <v>1003</v>
      </c>
      <c r="C84" t="s">
        <v>960</v>
      </c>
      <c r="D84" t="str">
        <f>_xlfn.XLOOKUP(ISIC_Rev_5_english_structure__1[[#This Row],[Column4]],INDUSTRYGROUP!$C$2:$C$23,INDUSTRYGROUP!$D$2:$D$23,"NONE")</f>
        <v>Mining and quarrying</v>
      </c>
      <c r="E84" t="str">
        <f>_xlfn.XLOOKUP(LEFT(A84,2),SECTOR!$A$2:$A$88,SECTOR!$A$2:$A$88,"")</f>
        <v/>
      </c>
      <c r="F84" t="str">
        <f>_xlfn.XLOOKUP(LEFT(A84,2),SECTOR!$A$2:$A$88,SECTOR!$B$2:$B$88,"")</f>
        <v/>
      </c>
      <c r="G84" t="str">
        <f>_xlfn.XLOOKUP(LEFT(A84,3),INDUSTRY!$A$2:$A$259,INDUSTRY!$A$2:$A$259,"")</f>
        <v>089</v>
      </c>
      <c r="H84" t="str">
        <f>_xlfn.XLOOKUP(LEFT(A84,3),INDUSTRY!$A$2:$A$259,INDUSTRY!$B$2:$B$259,"")</f>
        <v>Mining and quarrying n.e.c.</v>
      </c>
      <c r="I84" t="str">
        <f t="shared" si="2"/>
        <v>0899</v>
      </c>
      <c r="J84" t="str">
        <f t="shared" si="3"/>
        <v>Other mining and quarrying n.e.c.</v>
      </c>
    </row>
    <row r="85" spans="1:10" x14ac:dyDescent="0.25">
      <c r="A85" t="s">
        <v>1004</v>
      </c>
      <c r="B85" t="s">
        <v>1005</v>
      </c>
      <c r="C85" t="s">
        <v>960</v>
      </c>
      <c r="D85" t="str">
        <f>_xlfn.XLOOKUP(ISIC_Rev_5_english_structure__1[[#This Row],[Column4]],INDUSTRYGROUP!$C$2:$C$23,INDUSTRYGROUP!$D$2:$D$23,"NONE")</f>
        <v>Mining and quarrying</v>
      </c>
      <c r="E85" t="str">
        <f>_xlfn.XLOOKUP(LEFT(A85,2),SECTOR!$A$2:$A$88,SECTOR!$A$2:$A$88,"")</f>
        <v/>
      </c>
      <c r="F85" t="str">
        <f>_xlfn.XLOOKUP(LEFT(A85,2),SECTOR!$A$2:$A$88,SECTOR!$B$2:$B$88,"")</f>
        <v/>
      </c>
      <c r="G85" t="str">
        <f>_xlfn.XLOOKUP(LEFT(A85,3),INDUSTRY!$A$2:$A$259,INDUSTRY!$A$2:$A$259,"")</f>
        <v/>
      </c>
      <c r="H85" t="str">
        <f>_xlfn.XLOOKUP(LEFT(A85,3),INDUSTRY!$A$2:$A$259,INDUSTRY!$B$2:$B$259,"")</f>
        <v/>
      </c>
      <c r="I85" t="str">
        <f t="shared" si="2"/>
        <v/>
      </c>
      <c r="J85" t="str">
        <f t="shared" si="3"/>
        <v/>
      </c>
    </row>
    <row r="86" spans="1:10" x14ac:dyDescent="0.25">
      <c r="A86" t="s">
        <v>1006</v>
      </c>
      <c r="B86" t="s">
        <v>1007</v>
      </c>
      <c r="C86" t="s">
        <v>960</v>
      </c>
      <c r="D86" t="str">
        <f>_xlfn.XLOOKUP(ISIC_Rev_5_english_structure__1[[#This Row],[Column4]],INDUSTRYGROUP!$C$2:$C$23,INDUSTRYGROUP!$D$2:$D$23,"NONE")</f>
        <v>Mining and quarrying</v>
      </c>
      <c r="E86" t="str">
        <f>_xlfn.XLOOKUP(LEFT(A86,2),SECTOR!$A$2:$A$88,SECTOR!$A$2:$A$88,"")</f>
        <v/>
      </c>
      <c r="F86" t="str">
        <f>_xlfn.XLOOKUP(LEFT(A86,2),SECTOR!$A$2:$A$88,SECTOR!$B$2:$B$88,"")</f>
        <v/>
      </c>
      <c r="G86" t="str">
        <f>_xlfn.XLOOKUP(LEFT(A86,3),INDUSTRY!$A$2:$A$259,INDUSTRY!$A$2:$A$259,"")</f>
        <v>091</v>
      </c>
      <c r="H86" t="str">
        <f>_xlfn.XLOOKUP(LEFT(A86,3),INDUSTRY!$A$2:$A$259,INDUSTRY!$B$2:$B$259,"")</f>
        <v>Support activities for petroleum and natural gas extraction</v>
      </c>
      <c r="I86" t="str">
        <f t="shared" si="2"/>
        <v/>
      </c>
      <c r="J86" t="str">
        <f t="shared" si="3"/>
        <v/>
      </c>
    </row>
    <row r="87" spans="1:10" x14ac:dyDescent="0.25">
      <c r="A87" t="s">
        <v>1008</v>
      </c>
      <c r="B87" t="s">
        <v>1007</v>
      </c>
      <c r="C87" t="s">
        <v>960</v>
      </c>
      <c r="D87" t="str">
        <f>_xlfn.XLOOKUP(ISIC_Rev_5_english_structure__1[[#This Row],[Column4]],INDUSTRYGROUP!$C$2:$C$23,INDUSTRYGROUP!$D$2:$D$23,"NONE")</f>
        <v>Mining and quarrying</v>
      </c>
      <c r="E87" t="str">
        <f>_xlfn.XLOOKUP(LEFT(A87,2),SECTOR!$A$2:$A$88,SECTOR!$A$2:$A$88,"")</f>
        <v/>
      </c>
      <c r="F87" t="str">
        <f>_xlfn.XLOOKUP(LEFT(A87,2),SECTOR!$A$2:$A$88,SECTOR!$B$2:$B$88,"")</f>
        <v/>
      </c>
      <c r="G87" t="str">
        <f>_xlfn.XLOOKUP(LEFT(A87,3),INDUSTRY!$A$2:$A$259,INDUSTRY!$A$2:$A$259,"")</f>
        <v>091</v>
      </c>
      <c r="H87" t="str">
        <f>_xlfn.XLOOKUP(LEFT(A87,3),INDUSTRY!$A$2:$A$259,INDUSTRY!$B$2:$B$259,"")</f>
        <v>Support activities for petroleum and natural gas extraction</v>
      </c>
      <c r="I87" t="str">
        <f t="shared" si="2"/>
        <v>0910</v>
      </c>
      <c r="J87" t="str">
        <f t="shared" si="3"/>
        <v>Support activities for petroleum and natural gas extraction</v>
      </c>
    </row>
    <row r="88" spans="1:10" x14ac:dyDescent="0.25">
      <c r="A88" t="s">
        <v>1009</v>
      </c>
      <c r="B88" t="s">
        <v>1010</v>
      </c>
      <c r="C88" t="s">
        <v>960</v>
      </c>
      <c r="D88" t="str">
        <f>_xlfn.XLOOKUP(ISIC_Rev_5_english_structure__1[[#This Row],[Column4]],INDUSTRYGROUP!$C$2:$C$23,INDUSTRYGROUP!$D$2:$D$23,"NONE")</f>
        <v>Mining and quarrying</v>
      </c>
      <c r="E88" t="str">
        <f>_xlfn.XLOOKUP(LEFT(A88,2),SECTOR!$A$2:$A$88,SECTOR!$A$2:$A$88,"")</f>
        <v/>
      </c>
      <c r="F88" t="str">
        <f>_xlfn.XLOOKUP(LEFT(A88,2),SECTOR!$A$2:$A$88,SECTOR!$B$2:$B$88,"")</f>
        <v/>
      </c>
      <c r="G88" t="str">
        <f>_xlfn.XLOOKUP(LEFT(A88,3),INDUSTRY!$A$2:$A$259,INDUSTRY!$A$2:$A$259,"")</f>
        <v>099</v>
      </c>
      <c r="H88" t="str">
        <f>_xlfn.XLOOKUP(LEFT(A88,3),INDUSTRY!$A$2:$A$259,INDUSTRY!$B$2:$B$259,"")</f>
        <v>Support activities for other mining and quarrying</v>
      </c>
      <c r="I88" t="str">
        <f t="shared" si="2"/>
        <v/>
      </c>
      <c r="J88" t="str">
        <f t="shared" si="3"/>
        <v/>
      </c>
    </row>
    <row r="89" spans="1:10" x14ac:dyDescent="0.25">
      <c r="A89" t="s">
        <v>1011</v>
      </c>
      <c r="B89" t="s">
        <v>1010</v>
      </c>
      <c r="C89" t="s">
        <v>960</v>
      </c>
      <c r="D89" t="str">
        <f>_xlfn.XLOOKUP(ISIC_Rev_5_english_structure__1[[#This Row],[Column4]],INDUSTRYGROUP!$C$2:$C$23,INDUSTRYGROUP!$D$2:$D$23,"NONE")</f>
        <v>Mining and quarrying</v>
      </c>
      <c r="E89" t="str">
        <f>_xlfn.XLOOKUP(LEFT(A89,2),SECTOR!$A$2:$A$88,SECTOR!$A$2:$A$88,"")</f>
        <v/>
      </c>
      <c r="F89" t="str">
        <f>_xlfn.XLOOKUP(LEFT(A89,2),SECTOR!$A$2:$A$88,SECTOR!$B$2:$B$88,"")</f>
        <v/>
      </c>
      <c r="G89" t="str">
        <f>_xlfn.XLOOKUP(LEFT(A89,3),INDUSTRY!$A$2:$A$259,INDUSTRY!$A$2:$A$259,"")</f>
        <v>099</v>
      </c>
      <c r="H89" t="str">
        <f>_xlfn.XLOOKUP(LEFT(A89,3),INDUSTRY!$A$2:$A$259,INDUSTRY!$B$2:$B$259,"")</f>
        <v>Support activities for other mining and quarrying</v>
      </c>
      <c r="I89" t="str">
        <f t="shared" si="2"/>
        <v>0990</v>
      </c>
      <c r="J89" t="str">
        <f t="shared" si="3"/>
        <v>Support activities for other mining and quarrying</v>
      </c>
    </row>
    <row r="90" spans="1:10" x14ac:dyDescent="0.25">
      <c r="A90" t="s">
        <v>1012</v>
      </c>
      <c r="B90" t="s">
        <v>1013</v>
      </c>
      <c r="C90" t="s">
        <v>1012</v>
      </c>
      <c r="D90" t="str">
        <f>_xlfn.XLOOKUP(ISIC_Rev_5_english_structure__1[[#This Row],[Column4]],INDUSTRYGROUP!$C$2:$C$23,INDUSTRYGROUP!$D$2:$D$23,"NONE")</f>
        <v>Manufacturing</v>
      </c>
      <c r="E90" t="str">
        <f>_xlfn.XLOOKUP(LEFT(A90,2),SECTOR!$A$2:$A$88,SECTOR!$A$2:$A$88,"")</f>
        <v>C</v>
      </c>
      <c r="F90" t="str">
        <f>_xlfn.XLOOKUP(LEFT(A90,2),SECTOR!$A$2:$A$88,SECTOR!$B$2:$B$88,"")</f>
        <v>Manufacturing</v>
      </c>
      <c r="G90" t="str">
        <f>_xlfn.XLOOKUP(LEFT(A90,3),INDUSTRY!$A$2:$A$259,INDUSTRY!$A$2:$A$259,"")</f>
        <v/>
      </c>
      <c r="H90" t="str">
        <f>_xlfn.XLOOKUP(LEFT(A90,3),INDUSTRY!$A$2:$A$259,INDUSTRY!$B$2:$B$259,"")</f>
        <v/>
      </c>
      <c r="I90" t="str">
        <f t="shared" si="2"/>
        <v/>
      </c>
      <c r="J90" t="str">
        <f t="shared" si="3"/>
        <v/>
      </c>
    </row>
    <row r="91" spans="1:10" x14ac:dyDescent="0.25">
      <c r="A91" t="s">
        <v>1014</v>
      </c>
      <c r="B91" t="s">
        <v>1015</v>
      </c>
      <c r="C91" t="s">
        <v>1012</v>
      </c>
      <c r="D91" t="str">
        <f>_xlfn.XLOOKUP(ISIC_Rev_5_english_structure__1[[#This Row],[Column4]],INDUSTRYGROUP!$C$2:$C$23,INDUSTRYGROUP!$D$2:$D$23,"NONE")</f>
        <v>Manufacturing</v>
      </c>
      <c r="E91" t="str">
        <f>_xlfn.XLOOKUP(LEFT(A91,2),SECTOR!$A$2:$A$88,SECTOR!$A$2:$A$88,"")</f>
        <v/>
      </c>
      <c r="F91" t="str">
        <f>_xlfn.XLOOKUP(LEFT(A91,2),SECTOR!$A$2:$A$88,SECTOR!$B$2:$B$88,"")</f>
        <v/>
      </c>
      <c r="G91" t="str">
        <f>_xlfn.XLOOKUP(LEFT(A91,3),INDUSTRY!$A$2:$A$259,INDUSTRY!$A$2:$A$259,"")</f>
        <v/>
      </c>
      <c r="H91" t="str">
        <f>_xlfn.XLOOKUP(LEFT(A91,3),INDUSTRY!$A$2:$A$259,INDUSTRY!$B$2:$B$259,"")</f>
        <v/>
      </c>
      <c r="I91" t="str">
        <f t="shared" si="2"/>
        <v/>
      </c>
      <c r="J91" t="str">
        <f t="shared" si="3"/>
        <v/>
      </c>
    </row>
    <row r="92" spans="1:10" x14ac:dyDescent="0.25">
      <c r="A92" t="s">
        <v>1016</v>
      </c>
      <c r="B92" t="s">
        <v>1017</v>
      </c>
      <c r="C92" t="s">
        <v>1012</v>
      </c>
      <c r="D92" t="str">
        <f>_xlfn.XLOOKUP(ISIC_Rev_5_english_structure__1[[#This Row],[Column4]],INDUSTRYGROUP!$C$2:$C$23,INDUSTRYGROUP!$D$2:$D$23,"NONE")</f>
        <v>Manufacturing</v>
      </c>
      <c r="E92" t="str">
        <f>_xlfn.XLOOKUP(LEFT(A92,2),SECTOR!$A$2:$A$88,SECTOR!$A$2:$A$88,"")</f>
        <v/>
      </c>
      <c r="F92" t="str">
        <f>_xlfn.XLOOKUP(LEFT(A92,2),SECTOR!$A$2:$A$88,SECTOR!$B$2:$B$88,"")</f>
        <v/>
      </c>
      <c r="G92" t="str">
        <f>_xlfn.XLOOKUP(LEFT(A92,3),INDUSTRY!$A$2:$A$259,INDUSTRY!$A$2:$A$259,"")</f>
        <v>101</v>
      </c>
      <c r="H92" t="str">
        <f>_xlfn.XLOOKUP(LEFT(A92,3),INDUSTRY!$A$2:$A$259,INDUSTRY!$B$2:$B$259,"")</f>
        <v>Processing and preserving of meat</v>
      </c>
      <c r="I92" t="str">
        <f t="shared" si="2"/>
        <v/>
      </c>
      <c r="J92" t="str">
        <f t="shared" si="3"/>
        <v/>
      </c>
    </row>
    <row r="93" spans="1:10" x14ac:dyDescent="0.25">
      <c r="A93" t="s">
        <v>1018</v>
      </c>
      <c r="B93" t="s">
        <v>1017</v>
      </c>
      <c r="C93" t="s">
        <v>1012</v>
      </c>
      <c r="D93" t="str">
        <f>_xlfn.XLOOKUP(ISIC_Rev_5_english_structure__1[[#This Row],[Column4]],INDUSTRYGROUP!$C$2:$C$23,INDUSTRYGROUP!$D$2:$D$23,"NONE")</f>
        <v>Manufacturing</v>
      </c>
      <c r="E93" t="str">
        <f>_xlfn.XLOOKUP(LEFT(A93,2),SECTOR!$A$2:$A$88,SECTOR!$A$2:$A$88,"")</f>
        <v/>
      </c>
      <c r="F93" t="str">
        <f>_xlfn.XLOOKUP(LEFT(A93,2),SECTOR!$A$2:$A$88,SECTOR!$B$2:$B$88,"")</f>
        <v/>
      </c>
      <c r="G93" t="str">
        <f>_xlfn.XLOOKUP(LEFT(A93,3),INDUSTRY!$A$2:$A$259,INDUSTRY!$A$2:$A$259,"")</f>
        <v>101</v>
      </c>
      <c r="H93" t="str">
        <f>_xlfn.XLOOKUP(LEFT(A93,3),INDUSTRY!$A$2:$A$259,INDUSTRY!$B$2:$B$259,"")</f>
        <v>Processing and preserving of meat</v>
      </c>
      <c r="I93" t="str">
        <f t="shared" si="2"/>
        <v>1010</v>
      </c>
      <c r="J93" t="str">
        <f t="shared" si="3"/>
        <v>Processing and preserving of meat</v>
      </c>
    </row>
    <row r="94" spans="1:10" x14ac:dyDescent="0.25">
      <c r="A94" t="s">
        <v>1019</v>
      </c>
      <c r="B94" t="s">
        <v>1020</v>
      </c>
      <c r="C94" t="s">
        <v>1012</v>
      </c>
      <c r="D94" t="str">
        <f>_xlfn.XLOOKUP(ISIC_Rev_5_english_structure__1[[#This Row],[Column4]],INDUSTRYGROUP!$C$2:$C$23,INDUSTRYGROUP!$D$2:$D$23,"NONE")</f>
        <v>Manufacturing</v>
      </c>
      <c r="E94" t="str">
        <f>_xlfn.XLOOKUP(LEFT(A94,2),SECTOR!$A$2:$A$88,SECTOR!$A$2:$A$88,"")</f>
        <v/>
      </c>
      <c r="F94" t="str">
        <f>_xlfn.XLOOKUP(LEFT(A94,2),SECTOR!$A$2:$A$88,SECTOR!$B$2:$B$88,"")</f>
        <v/>
      </c>
      <c r="G94" t="str">
        <f>_xlfn.XLOOKUP(LEFT(A94,3),INDUSTRY!$A$2:$A$259,INDUSTRY!$A$2:$A$259,"")</f>
        <v>102</v>
      </c>
      <c r="H94" t="str">
        <f>_xlfn.XLOOKUP(LEFT(A94,3),INDUSTRY!$A$2:$A$259,INDUSTRY!$B$2:$B$259,"")</f>
        <v>Processing and preserving of fish, crustaceans and molluscs</v>
      </c>
      <c r="I94" t="str">
        <f t="shared" si="2"/>
        <v/>
      </c>
      <c r="J94" t="str">
        <f t="shared" si="3"/>
        <v/>
      </c>
    </row>
    <row r="95" spans="1:10" x14ac:dyDescent="0.25">
      <c r="A95" t="s">
        <v>1021</v>
      </c>
      <c r="B95" t="s">
        <v>1020</v>
      </c>
      <c r="C95" t="s">
        <v>1012</v>
      </c>
      <c r="D95" t="str">
        <f>_xlfn.XLOOKUP(ISIC_Rev_5_english_structure__1[[#This Row],[Column4]],INDUSTRYGROUP!$C$2:$C$23,INDUSTRYGROUP!$D$2:$D$23,"NONE")</f>
        <v>Manufacturing</v>
      </c>
      <c r="E95" t="str">
        <f>_xlfn.XLOOKUP(LEFT(A95,2),SECTOR!$A$2:$A$88,SECTOR!$A$2:$A$88,"")</f>
        <v/>
      </c>
      <c r="F95" t="str">
        <f>_xlfn.XLOOKUP(LEFT(A95,2),SECTOR!$A$2:$A$88,SECTOR!$B$2:$B$88,"")</f>
        <v/>
      </c>
      <c r="G95" t="str">
        <f>_xlfn.XLOOKUP(LEFT(A95,3),INDUSTRY!$A$2:$A$259,INDUSTRY!$A$2:$A$259,"")</f>
        <v>102</v>
      </c>
      <c r="H95" t="str">
        <f>_xlfn.XLOOKUP(LEFT(A95,3),INDUSTRY!$A$2:$A$259,INDUSTRY!$B$2:$B$259,"")</f>
        <v>Processing and preserving of fish, crustaceans and molluscs</v>
      </c>
      <c r="I95" t="str">
        <f t="shared" si="2"/>
        <v>1020</v>
      </c>
      <c r="J95" t="str">
        <f t="shared" si="3"/>
        <v>Processing and preserving of fish, crustaceans and molluscs</v>
      </c>
    </row>
    <row r="96" spans="1:10" x14ac:dyDescent="0.25">
      <c r="A96" t="s">
        <v>1022</v>
      </c>
      <c r="B96" t="s">
        <v>1023</v>
      </c>
      <c r="C96" t="s">
        <v>1012</v>
      </c>
      <c r="D96" t="str">
        <f>_xlfn.XLOOKUP(ISIC_Rev_5_english_structure__1[[#This Row],[Column4]],INDUSTRYGROUP!$C$2:$C$23,INDUSTRYGROUP!$D$2:$D$23,"NONE")</f>
        <v>Manufacturing</v>
      </c>
      <c r="E96" t="str">
        <f>_xlfn.XLOOKUP(LEFT(A96,2),SECTOR!$A$2:$A$88,SECTOR!$A$2:$A$88,"")</f>
        <v/>
      </c>
      <c r="F96" t="str">
        <f>_xlfn.XLOOKUP(LEFT(A96,2),SECTOR!$A$2:$A$88,SECTOR!$B$2:$B$88,"")</f>
        <v/>
      </c>
      <c r="G96" t="str">
        <f>_xlfn.XLOOKUP(LEFT(A96,3),INDUSTRY!$A$2:$A$259,INDUSTRY!$A$2:$A$259,"")</f>
        <v>103</v>
      </c>
      <c r="H96" t="str">
        <f>_xlfn.XLOOKUP(LEFT(A96,3),INDUSTRY!$A$2:$A$259,INDUSTRY!$B$2:$B$259,"")</f>
        <v>Processing and preserving of fruit and vegetables</v>
      </c>
      <c r="I96" t="str">
        <f t="shared" si="2"/>
        <v/>
      </c>
      <c r="J96" t="str">
        <f t="shared" si="3"/>
        <v/>
      </c>
    </row>
    <row r="97" spans="1:10" x14ac:dyDescent="0.25">
      <c r="A97" t="s">
        <v>1024</v>
      </c>
      <c r="B97" t="s">
        <v>1023</v>
      </c>
      <c r="C97" t="s">
        <v>1012</v>
      </c>
      <c r="D97" t="str">
        <f>_xlfn.XLOOKUP(ISIC_Rev_5_english_structure__1[[#This Row],[Column4]],INDUSTRYGROUP!$C$2:$C$23,INDUSTRYGROUP!$D$2:$D$23,"NONE")</f>
        <v>Manufacturing</v>
      </c>
      <c r="E97" t="str">
        <f>_xlfn.XLOOKUP(LEFT(A97,2),SECTOR!$A$2:$A$88,SECTOR!$A$2:$A$88,"")</f>
        <v/>
      </c>
      <c r="F97" t="str">
        <f>_xlfn.XLOOKUP(LEFT(A97,2),SECTOR!$A$2:$A$88,SECTOR!$B$2:$B$88,"")</f>
        <v/>
      </c>
      <c r="G97" t="str">
        <f>_xlfn.XLOOKUP(LEFT(A97,3),INDUSTRY!$A$2:$A$259,INDUSTRY!$A$2:$A$259,"")</f>
        <v>103</v>
      </c>
      <c r="H97" t="str">
        <f>_xlfn.XLOOKUP(LEFT(A97,3),INDUSTRY!$A$2:$A$259,INDUSTRY!$B$2:$B$259,"")</f>
        <v>Processing and preserving of fruit and vegetables</v>
      </c>
      <c r="I97" t="str">
        <f t="shared" si="2"/>
        <v>1030</v>
      </c>
      <c r="J97" t="str">
        <f t="shared" si="3"/>
        <v>Processing and preserving of fruit and vegetables</v>
      </c>
    </row>
    <row r="98" spans="1:10" x14ac:dyDescent="0.25">
      <c r="A98" t="s">
        <v>1025</v>
      </c>
      <c r="B98" t="s">
        <v>1026</v>
      </c>
      <c r="C98" t="s">
        <v>1012</v>
      </c>
      <c r="D98" t="str">
        <f>_xlfn.XLOOKUP(ISIC_Rev_5_english_structure__1[[#This Row],[Column4]],INDUSTRYGROUP!$C$2:$C$23,INDUSTRYGROUP!$D$2:$D$23,"NONE")</f>
        <v>Manufacturing</v>
      </c>
      <c r="E98" t="str">
        <f>_xlfn.XLOOKUP(LEFT(A98,2),SECTOR!$A$2:$A$88,SECTOR!$A$2:$A$88,"")</f>
        <v/>
      </c>
      <c r="F98" t="str">
        <f>_xlfn.XLOOKUP(LEFT(A98,2),SECTOR!$A$2:$A$88,SECTOR!$B$2:$B$88,"")</f>
        <v/>
      </c>
      <c r="G98" t="str">
        <f>_xlfn.XLOOKUP(LEFT(A98,3),INDUSTRY!$A$2:$A$259,INDUSTRY!$A$2:$A$259,"")</f>
        <v>104</v>
      </c>
      <c r="H98" t="str">
        <f>_xlfn.XLOOKUP(LEFT(A98,3),INDUSTRY!$A$2:$A$259,INDUSTRY!$B$2:$B$259,"")</f>
        <v>Manufacture of vegetable and animal oils and fats</v>
      </c>
      <c r="I98" t="str">
        <f t="shared" si="2"/>
        <v/>
      </c>
      <c r="J98" t="str">
        <f t="shared" si="3"/>
        <v/>
      </c>
    </row>
    <row r="99" spans="1:10" x14ac:dyDescent="0.25">
      <c r="A99" t="s">
        <v>1027</v>
      </c>
      <c r="B99" t="s">
        <v>1026</v>
      </c>
      <c r="C99" t="s">
        <v>1012</v>
      </c>
      <c r="D99" t="str">
        <f>_xlfn.XLOOKUP(ISIC_Rev_5_english_structure__1[[#This Row],[Column4]],INDUSTRYGROUP!$C$2:$C$23,INDUSTRYGROUP!$D$2:$D$23,"NONE")</f>
        <v>Manufacturing</v>
      </c>
      <c r="E99" t="str">
        <f>_xlfn.XLOOKUP(LEFT(A99,2),SECTOR!$A$2:$A$88,SECTOR!$A$2:$A$88,"")</f>
        <v/>
      </c>
      <c r="F99" t="str">
        <f>_xlfn.XLOOKUP(LEFT(A99,2),SECTOR!$A$2:$A$88,SECTOR!$B$2:$B$88,"")</f>
        <v/>
      </c>
      <c r="G99" t="str">
        <f>_xlfn.XLOOKUP(LEFT(A99,3),INDUSTRY!$A$2:$A$259,INDUSTRY!$A$2:$A$259,"")</f>
        <v>104</v>
      </c>
      <c r="H99" t="str">
        <f>_xlfn.XLOOKUP(LEFT(A99,3),INDUSTRY!$A$2:$A$259,INDUSTRY!$B$2:$B$259,"")</f>
        <v>Manufacture of vegetable and animal oils and fats</v>
      </c>
      <c r="I99" t="str">
        <f t="shared" si="2"/>
        <v>1040</v>
      </c>
      <c r="J99" t="str">
        <f t="shared" si="3"/>
        <v>Manufacture of vegetable and animal oils and fats</v>
      </c>
    </row>
    <row r="100" spans="1:10" x14ac:dyDescent="0.25">
      <c r="A100" t="s">
        <v>1028</v>
      </c>
      <c r="B100" t="s">
        <v>1029</v>
      </c>
      <c r="C100" t="s">
        <v>1012</v>
      </c>
      <c r="D100" t="str">
        <f>_xlfn.XLOOKUP(ISIC_Rev_5_english_structure__1[[#This Row],[Column4]],INDUSTRYGROUP!$C$2:$C$23,INDUSTRYGROUP!$D$2:$D$23,"NONE")</f>
        <v>Manufacturing</v>
      </c>
      <c r="E100" t="str">
        <f>_xlfn.XLOOKUP(LEFT(A100,2),SECTOR!$A$2:$A$88,SECTOR!$A$2:$A$88,"")</f>
        <v/>
      </c>
      <c r="F100" t="str">
        <f>_xlfn.XLOOKUP(LEFT(A100,2),SECTOR!$A$2:$A$88,SECTOR!$B$2:$B$88,"")</f>
        <v/>
      </c>
      <c r="G100" t="str">
        <f>_xlfn.XLOOKUP(LEFT(A100,3),INDUSTRY!$A$2:$A$259,INDUSTRY!$A$2:$A$259,"")</f>
        <v>105</v>
      </c>
      <c r="H100" t="str">
        <f>_xlfn.XLOOKUP(LEFT(A100,3),INDUSTRY!$A$2:$A$259,INDUSTRY!$B$2:$B$259,"")</f>
        <v>Manufacture of dairy products</v>
      </c>
      <c r="I100" t="str">
        <f t="shared" si="2"/>
        <v/>
      </c>
      <c r="J100" t="str">
        <f t="shared" si="3"/>
        <v/>
      </c>
    </row>
    <row r="101" spans="1:10" x14ac:dyDescent="0.25">
      <c r="A101" t="s">
        <v>1030</v>
      </c>
      <c r="B101" t="s">
        <v>1029</v>
      </c>
      <c r="C101" t="s">
        <v>1012</v>
      </c>
      <c r="D101" t="str">
        <f>_xlfn.XLOOKUP(ISIC_Rev_5_english_structure__1[[#This Row],[Column4]],INDUSTRYGROUP!$C$2:$C$23,INDUSTRYGROUP!$D$2:$D$23,"NONE")</f>
        <v>Manufacturing</v>
      </c>
      <c r="E101" t="str">
        <f>_xlfn.XLOOKUP(LEFT(A101,2),SECTOR!$A$2:$A$88,SECTOR!$A$2:$A$88,"")</f>
        <v/>
      </c>
      <c r="F101" t="str">
        <f>_xlfn.XLOOKUP(LEFT(A101,2),SECTOR!$A$2:$A$88,SECTOR!$B$2:$B$88,"")</f>
        <v/>
      </c>
      <c r="G101" t="str">
        <f>_xlfn.XLOOKUP(LEFT(A101,3),INDUSTRY!$A$2:$A$259,INDUSTRY!$A$2:$A$259,"")</f>
        <v>105</v>
      </c>
      <c r="H101" t="str">
        <f>_xlfn.XLOOKUP(LEFT(A101,3),INDUSTRY!$A$2:$A$259,INDUSTRY!$B$2:$B$259,"")</f>
        <v>Manufacture of dairy products</v>
      </c>
      <c r="I101" t="str">
        <f t="shared" si="2"/>
        <v>1050</v>
      </c>
      <c r="J101" t="str">
        <f t="shared" si="3"/>
        <v>Manufacture of dairy products</v>
      </c>
    </row>
    <row r="102" spans="1:10" x14ac:dyDescent="0.25">
      <c r="A102" t="s">
        <v>1031</v>
      </c>
      <c r="B102" t="s">
        <v>1032</v>
      </c>
      <c r="C102" t="s">
        <v>1012</v>
      </c>
      <c r="D102" t="str">
        <f>_xlfn.XLOOKUP(ISIC_Rev_5_english_structure__1[[#This Row],[Column4]],INDUSTRYGROUP!$C$2:$C$23,INDUSTRYGROUP!$D$2:$D$23,"NONE")</f>
        <v>Manufacturing</v>
      </c>
      <c r="E102" t="str">
        <f>_xlfn.XLOOKUP(LEFT(A102,2),SECTOR!$A$2:$A$88,SECTOR!$A$2:$A$88,"")</f>
        <v/>
      </c>
      <c r="F102" t="str">
        <f>_xlfn.XLOOKUP(LEFT(A102,2),SECTOR!$A$2:$A$88,SECTOR!$B$2:$B$88,"")</f>
        <v/>
      </c>
      <c r="G102" t="str">
        <f>_xlfn.XLOOKUP(LEFT(A102,3),INDUSTRY!$A$2:$A$259,INDUSTRY!$A$2:$A$259,"")</f>
        <v>106</v>
      </c>
      <c r="H102" t="str">
        <f>_xlfn.XLOOKUP(LEFT(A102,3),INDUSTRY!$A$2:$A$259,INDUSTRY!$B$2:$B$259,"")</f>
        <v>Manufacture of grain mill products, starches and starch products</v>
      </c>
      <c r="I102" t="str">
        <f t="shared" si="2"/>
        <v/>
      </c>
      <c r="J102" t="str">
        <f t="shared" si="3"/>
        <v/>
      </c>
    </row>
    <row r="103" spans="1:10" x14ac:dyDescent="0.25">
      <c r="A103" t="s">
        <v>1033</v>
      </c>
      <c r="B103" t="s">
        <v>1034</v>
      </c>
      <c r="C103" t="s">
        <v>1012</v>
      </c>
      <c r="D103" t="str">
        <f>_xlfn.XLOOKUP(ISIC_Rev_5_english_structure__1[[#This Row],[Column4]],INDUSTRYGROUP!$C$2:$C$23,INDUSTRYGROUP!$D$2:$D$23,"NONE")</f>
        <v>Manufacturing</v>
      </c>
      <c r="E103" t="str">
        <f>_xlfn.XLOOKUP(LEFT(A103,2),SECTOR!$A$2:$A$88,SECTOR!$A$2:$A$88,"")</f>
        <v/>
      </c>
      <c r="F103" t="str">
        <f>_xlfn.XLOOKUP(LEFT(A103,2),SECTOR!$A$2:$A$88,SECTOR!$B$2:$B$88,"")</f>
        <v/>
      </c>
      <c r="G103" t="str">
        <f>_xlfn.XLOOKUP(LEFT(A103,3),INDUSTRY!$A$2:$A$259,INDUSTRY!$A$2:$A$259,"")</f>
        <v>106</v>
      </c>
      <c r="H103" t="str">
        <f>_xlfn.XLOOKUP(LEFT(A103,3),INDUSTRY!$A$2:$A$259,INDUSTRY!$B$2:$B$259,"")</f>
        <v>Manufacture of grain mill products, starches and starch products</v>
      </c>
      <c r="I103" t="str">
        <f t="shared" si="2"/>
        <v>1061</v>
      </c>
      <c r="J103" t="str">
        <f t="shared" si="3"/>
        <v>Manufacture of grain mill products</v>
      </c>
    </row>
    <row r="104" spans="1:10" x14ac:dyDescent="0.25">
      <c r="A104" t="s">
        <v>1035</v>
      </c>
      <c r="B104" t="s">
        <v>1036</v>
      </c>
      <c r="C104" t="s">
        <v>1012</v>
      </c>
      <c r="D104" t="str">
        <f>_xlfn.XLOOKUP(ISIC_Rev_5_english_structure__1[[#This Row],[Column4]],INDUSTRYGROUP!$C$2:$C$23,INDUSTRYGROUP!$D$2:$D$23,"NONE")</f>
        <v>Manufacturing</v>
      </c>
      <c r="E104" t="str">
        <f>_xlfn.XLOOKUP(LEFT(A104,2),SECTOR!$A$2:$A$88,SECTOR!$A$2:$A$88,"")</f>
        <v/>
      </c>
      <c r="F104" t="str">
        <f>_xlfn.XLOOKUP(LEFT(A104,2),SECTOR!$A$2:$A$88,SECTOR!$B$2:$B$88,"")</f>
        <v/>
      </c>
      <c r="G104" t="str">
        <f>_xlfn.XLOOKUP(LEFT(A104,3),INDUSTRY!$A$2:$A$259,INDUSTRY!$A$2:$A$259,"")</f>
        <v>106</v>
      </c>
      <c r="H104" t="str">
        <f>_xlfn.XLOOKUP(LEFT(A104,3),INDUSTRY!$A$2:$A$259,INDUSTRY!$B$2:$B$259,"")</f>
        <v>Manufacture of grain mill products, starches and starch products</v>
      </c>
      <c r="I104" t="str">
        <f t="shared" si="2"/>
        <v>1062</v>
      </c>
      <c r="J104" t="str">
        <f t="shared" si="3"/>
        <v>Manufacture of starches and starch products</v>
      </c>
    </row>
    <row r="105" spans="1:10" x14ac:dyDescent="0.25">
      <c r="A105" t="s">
        <v>1037</v>
      </c>
      <c r="B105" t="s">
        <v>1038</v>
      </c>
      <c r="C105" t="s">
        <v>1012</v>
      </c>
      <c r="D105" t="str">
        <f>_xlfn.XLOOKUP(ISIC_Rev_5_english_structure__1[[#This Row],[Column4]],INDUSTRYGROUP!$C$2:$C$23,INDUSTRYGROUP!$D$2:$D$23,"NONE")</f>
        <v>Manufacturing</v>
      </c>
      <c r="E105" t="str">
        <f>_xlfn.XLOOKUP(LEFT(A105,2),SECTOR!$A$2:$A$88,SECTOR!$A$2:$A$88,"")</f>
        <v/>
      </c>
      <c r="F105" t="str">
        <f>_xlfn.XLOOKUP(LEFT(A105,2),SECTOR!$A$2:$A$88,SECTOR!$B$2:$B$88,"")</f>
        <v/>
      </c>
      <c r="G105" t="str">
        <f>_xlfn.XLOOKUP(LEFT(A105,3),INDUSTRY!$A$2:$A$259,INDUSTRY!$A$2:$A$259,"")</f>
        <v>107</v>
      </c>
      <c r="H105" t="str">
        <f>_xlfn.XLOOKUP(LEFT(A105,3),INDUSTRY!$A$2:$A$259,INDUSTRY!$B$2:$B$259,"")</f>
        <v>Manufacture of other food products</v>
      </c>
      <c r="I105" t="str">
        <f t="shared" si="2"/>
        <v/>
      </c>
      <c r="J105" t="str">
        <f t="shared" si="3"/>
        <v/>
      </c>
    </row>
    <row r="106" spans="1:10" x14ac:dyDescent="0.25">
      <c r="A106" t="s">
        <v>1039</v>
      </c>
      <c r="B106" t="s">
        <v>1040</v>
      </c>
      <c r="C106" t="s">
        <v>1012</v>
      </c>
      <c r="D106" t="str">
        <f>_xlfn.XLOOKUP(ISIC_Rev_5_english_structure__1[[#This Row],[Column4]],INDUSTRYGROUP!$C$2:$C$23,INDUSTRYGROUP!$D$2:$D$23,"NONE")</f>
        <v>Manufacturing</v>
      </c>
      <c r="E106" t="str">
        <f>_xlfn.XLOOKUP(LEFT(A106,2),SECTOR!$A$2:$A$88,SECTOR!$A$2:$A$88,"")</f>
        <v/>
      </c>
      <c r="F106" t="str">
        <f>_xlfn.XLOOKUP(LEFT(A106,2),SECTOR!$A$2:$A$88,SECTOR!$B$2:$B$88,"")</f>
        <v/>
      </c>
      <c r="G106" t="str">
        <f>_xlfn.XLOOKUP(LEFT(A106,3),INDUSTRY!$A$2:$A$259,INDUSTRY!$A$2:$A$259,"")</f>
        <v>107</v>
      </c>
      <c r="H106" t="str">
        <f>_xlfn.XLOOKUP(LEFT(A106,3),INDUSTRY!$A$2:$A$259,INDUSTRY!$B$2:$B$259,"")</f>
        <v>Manufacture of other food products</v>
      </c>
      <c r="I106" t="str">
        <f t="shared" si="2"/>
        <v>1071</v>
      </c>
      <c r="J106" t="str">
        <f t="shared" si="3"/>
        <v>Manufacture of bakery products</v>
      </c>
    </row>
    <row r="107" spans="1:10" x14ac:dyDescent="0.25">
      <c r="A107" t="s">
        <v>1041</v>
      </c>
      <c r="B107" t="s">
        <v>1042</v>
      </c>
      <c r="C107" t="s">
        <v>1012</v>
      </c>
      <c r="D107" t="str">
        <f>_xlfn.XLOOKUP(ISIC_Rev_5_english_structure__1[[#This Row],[Column4]],INDUSTRYGROUP!$C$2:$C$23,INDUSTRYGROUP!$D$2:$D$23,"NONE")</f>
        <v>Manufacturing</v>
      </c>
      <c r="E107" t="str">
        <f>_xlfn.XLOOKUP(LEFT(A107,2),SECTOR!$A$2:$A$88,SECTOR!$A$2:$A$88,"")</f>
        <v/>
      </c>
      <c r="F107" t="str">
        <f>_xlfn.XLOOKUP(LEFT(A107,2),SECTOR!$A$2:$A$88,SECTOR!$B$2:$B$88,"")</f>
        <v/>
      </c>
      <c r="G107" t="str">
        <f>_xlfn.XLOOKUP(LEFT(A107,3),INDUSTRY!$A$2:$A$259,INDUSTRY!$A$2:$A$259,"")</f>
        <v>107</v>
      </c>
      <c r="H107" t="str">
        <f>_xlfn.XLOOKUP(LEFT(A107,3),INDUSTRY!$A$2:$A$259,INDUSTRY!$B$2:$B$259,"")</f>
        <v>Manufacture of other food products</v>
      </c>
      <c r="I107" t="str">
        <f t="shared" si="2"/>
        <v>1072</v>
      </c>
      <c r="J107" t="str">
        <f t="shared" si="3"/>
        <v>Manufacture of sugar</v>
      </c>
    </row>
    <row r="108" spans="1:10" x14ac:dyDescent="0.25">
      <c r="A108" t="s">
        <v>1043</v>
      </c>
      <c r="B108" t="s">
        <v>1044</v>
      </c>
      <c r="C108" t="s">
        <v>1012</v>
      </c>
      <c r="D108" t="str">
        <f>_xlfn.XLOOKUP(ISIC_Rev_5_english_structure__1[[#This Row],[Column4]],INDUSTRYGROUP!$C$2:$C$23,INDUSTRYGROUP!$D$2:$D$23,"NONE")</f>
        <v>Manufacturing</v>
      </c>
      <c r="E108" t="str">
        <f>_xlfn.XLOOKUP(LEFT(A108,2),SECTOR!$A$2:$A$88,SECTOR!$A$2:$A$88,"")</f>
        <v/>
      </c>
      <c r="F108" t="str">
        <f>_xlfn.XLOOKUP(LEFT(A108,2),SECTOR!$A$2:$A$88,SECTOR!$B$2:$B$88,"")</f>
        <v/>
      </c>
      <c r="G108" t="str">
        <f>_xlfn.XLOOKUP(LEFT(A108,3),INDUSTRY!$A$2:$A$259,INDUSTRY!$A$2:$A$259,"")</f>
        <v>107</v>
      </c>
      <c r="H108" t="str">
        <f>_xlfn.XLOOKUP(LEFT(A108,3),INDUSTRY!$A$2:$A$259,INDUSTRY!$B$2:$B$259,"")</f>
        <v>Manufacture of other food products</v>
      </c>
      <c r="I108" t="str">
        <f t="shared" si="2"/>
        <v>1073</v>
      </c>
      <c r="J108" t="str">
        <f t="shared" si="3"/>
        <v>Manufacture of cocoa, chocolate and sugar confectionery</v>
      </c>
    </row>
    <row r="109" spans="1:10" x14ac:dyDescent="0.25">
      <c r="A109" t="s">
        <v>1045</v>
      </c>
      <c r="B109" t="s">
        <v>1046</v>
      </c>
      <c r="C109" t="s">
        <v>1012</v>
      </c>
      <c r="D109" t="str">
        <f>_xlfn.XLOOKUP(ISIC_Rev_5_english_structure__1[[#This Row],[Column4]],INDUSTRYGROUP!$C$2:$C$23,INDUSTRYGROUP!$D$2:$D$23,"NONE")</f>
        <v>Manufacturing</v>
      </c>
      <c r="E109" t="str">
        <f>_xlfn.XLOOKUP(LEFT(A109,2),SECTOR!$A$2:$A$88,SECTOR!$A$2:$A$88,"")</f>
        <v/>
      </c>
      <c r="F109" t="str">
        <f>_xlfn.XLOOKUP(LEFT(A109,2),SECTOR!$A$2:$A$88,SECTOR!$B$2:$B$88,"")</f>
        <v/>
      </c>
      <c r="G109" t="str">
        <f>_xlfn.XLOOKUP(LEFT(A109,3),INDUSTRY!$A$2:$A$259,INDUSTRY!$A$2:$A$259,"")</f>
        <v>107</v>
      </c>
      <c r="H109" t="str">
        <f>_xlfn.XLOOKUP(LEFT(A109,3),INDUSTRY!$A$2:$A$259,INDUSTRY!$B$2:$B$259,"")</f>
        <v>Manufacture of other food products</v>
      </c>
      <c r="I109" t="str">
        <f t="shared" si="2"/>
        <v>1074</v>
      </c>
      <c r="J109" t="str">
        <f t="shared" si="3"/>
        <v>Manufacture of macaroni, noodles, couscous and similar farinaceous products</v>
      </c>
    </row>
    <row r="110" spans="1:10" x14ac:dyDescent="0.25">
      <c r="A110" t="s">
        <v>1047</v>
      </c>
      <c r="B110" t="s">
        <v>1048</v>
      </c>
      <c r="C110" t="s">
        <v>1012</v>
      </c>
      <c r="D110" t="str">
        <f>_xlfn.XLOOKUP(ISIC_Rev_5_english_structure__1[[#This Row],[Column4]],INDUSTRYGROUP!$C$2:$C$23,INDUSTRYGROUP!$D$2:$D$23,"NONE")</f>
        <v>Manufacturing</v>
      </c>
      <c r="E110" t="str">
        <f>_xlfn.XLOOKUP(LEFT(A110,2),SECTOR!$A$2:$A$88,SECTOR!$A$2:$A$88,"")</f>
        <v/>
      </c>
      <c r="F110" t="str">
        <f>_xlfn.XLOOKUP(LEFT(A110,2),SECTOR!$A$2:$A$88,SECTOR!$B$2:$B$88,"")</f>
        <v/>
      </c>
      <c r="G110" t="str">
        <f>_xlfn.XLOOKUP(LEFT(A110,3),INDUSTRY!$A$2:$A$259,INDUSTRY!$A$2:$A$259,"")</f>
        <v>107</v>
      </c>
      <c r="H110" t="str">
        <f>_xlfn.XLOOKUP(LEFT(A110,3),INDUSTRY!$A$2:$A$259,INDUSTRY!$B$2:$B$259,"")</f>
        <v>Manufacture of other food products</v>
      </c>
      <c r="I110" t="str">
        <f t="shared" si="2"/>
        <v>1075</v>
      </c>
      <c r="J110" t="str">
        <f t="shared" si="3"/>
        <v>Manufacture of prepared meals and dishes</v>
      </c>
    </row>
    <row r="111" spans="1:10" x14ac:dyDescent="0.25">
      <c r="A111" t="s">
        <v>1049</v>
      </c>
      <c r="B111" t="s">
        <v>1050</v>
      </c>
      <c r="C111" t="s">
        <v>1012</v>
      </c>
      <c r="D111" t="str">
        <f>_xlfn.XLOOKUP(ISIC_Rev_5_english_structure__1[[#This Row],[Column4]],INDUSTRYGROUP!$C$2:$C$23,INDUSTRYGROUP!$D$2:$D$23,"NONE")</f>
        <v>Manufacturing</v>
      </c>
      <c r="E111" t="str">
        <f>_xlfn.XLOOKUP(LEFT(A111,2),SECTOR!$A$2:$A$88,SECTOR!$A$2:$A$88,"")</f>
        <v/>
      </c>
      <c r="F111" t="str">
        <f>_xlfn.XLOOKUP(LEFT(A111,2),SECTOR!$A$2:$A$88,SECTOR!$B$2:$B$88,"")</f>
        <v/>
      </c>
      <c r="G111" t="str">
        <f>_xlfn.XLOOKUP(LEFT(A111,3),INDUSTRY!$A$2:$A$259,INDUSTRY!$A$2:$A$259,"")</f>
        <v>107</v>
      </c>
      <c r="H111" t="str">
        <f>_xlfn.XLOOKUP(LEFT(A111,3),INDUSTRY!$A$2:$A$259,INDUSTRY!$B$2:$B$259,"")</f>
        <v>Manufacture of other food products</v>
      </c>
      <c r="I111" t="str">
        <f t="shared" si="2"/>
        <v>1076</v>
      </c>
      <c r="J111" t="str">
        <f t="shared" si="3"/>
        <v>Processing of coffee and tea</v>
      </c>
    </row>
    <row r="112" spans="1:10" x14ac:dyDescent="0.25">
      <c r="A112" t="s">
        <v>1051</v>
      </c>
      <c r="B112" t="s">
        <v>1052</v>
      </c>
      <c r="C112" t="s">
        <v>1012</v>
      </c>
      <c r="D112" t="str">
        <f>_xlfn.XLOOKUP(ISIC_Rev_5_english_structure__1[[#This Row],[Column4]],INDUSTRYGROUP!$C$2:$C$23,INDUSTRYGROUP!$D$2:$D$23,"NONE")</f>
        <v>Manufacturing</v>
      </c>
      <c r="E112" t="str">
        <f>_xlfn.XLOOKUP(LEFT(A112,2),SECTOR!$A$2:$A$88,SECTOR!$A$2:$A$88,"")</f>
        <v/>
      </c>
      <c r="F112" t="str">
        <f>_xlfn.XLOOKUP(LEFT(A112,2),SECTOR!$A$2:$A$88,SECTOR!$B$2:$B$88,"")</f>
        <v/>
      </c>
      <c r="G112" t="str">
        <f>_xlfn.XLOOKUP(LEFT(A112,3),INDUSTRY!$A$2:$A$259,INDUSTRY!$A$2:$A$259,"")</f>
        <v>107</v>
      </c>
      <c r="H112" t="str">
        <f>_xlfn.XLOOKUP(LEFT(A112,3),INDUSTRY!$A$2:$A$259,INDUSTRY!$B$2:$B$259,"")</f>
        <v>Manufacture of other food products</v>
      </c>
      <c r="I112" t="str">
        <f t="shared" si="2"/>
        <v>1079</v>
      </c>
      <c r="J112" t="str">
        <f t="shared" si="3"/>
        <v>Manufacture of other food products n.e.c.</v>
      </c>
    </row>
    <row r="113" spans="1:10" x14ac:dyDescent="0.25">
      <c r="A113" t="s">
        <v>1053</v>
      </c>
      <c r="B113" t="s">
        <v>1054</v>
      </c>
      <c r="C113" t="s">
        <v>1012</v>
      </c>
      <c r="D113" t="str">
        <f>_xlfn.XLOOKUP(ISIC_Rev_5_english_structure__1[[#This Row],[Column4]],INDUSTRYGROUP!$C$2:$C$23,INDUSTRYGROUP!$D$2:$D$23,"NONE")</f>
        <v>Manufacturing</v>
      </c>
      <c r="E113" t="str">
        <f>_xlfn.XLOOKUP(LEFT(A113,2),SECTOR!$A$2:$A$88,SECTOR!$A$2:$A$88,"")</f>
        <v/>
      </c>
      <c r="F113" t="str">
        <f>_xlfn.XLOOKUP(LEFT(A113,2),SECTOR!$A$2:$A$88,SECTOR!$B$2:$B$88,"")</f>
        <v/>
      </c>
      <c r="G113" t="str">
        <f>_xlfn.XLOOKUP(LEFT(A113,3),INDUSTRY!$A$2:$A$259,INDUSTRY!$A$2:$A$259,"")</f>
        <v>108</v>
      </c>
      <c r="H113" t="str">
        <f>_xlfn.XLOOKUP(LEFT(A113,3),INDUSTRY!$A$2:$A$259,INDUSTRY!$B$2:$B$259,"")</f>
        <v>Manufacture of prepared animal feeds</v>
      </c>
      <c r="I113" t="str">
        <f t="shared" si="2"/>
        <v/>
      </c>
      <c r="J113" t="str">
        <f t="shared" si="3"/>
        <v/>
      </c>
    </row>
    <row r="114" spans="1:10" x14ac:dyDescent="0.25">
      <c r="A114" t="s">
        <v>1055</v>
      </c>
      <c r="B114" t="s">
        <v>1054</v>
      </c>
      <c r="C114" t="s">
        <v>1012</v>
      </c>
      <c r="D114" t="str">
        <f>_xlfn.XLOOKUP(ISIC_Rev_5_english_structure__1[[#This Row],[Column4]],INDUSTRYGROUP!$C$2:$C$23,INDUSTRYGROUP!$D$2:$D$23,"NONE")</f>
        <v>Manufacturing</v>
      </c>
      <c r="E114" t="str">
        <f>_xlfn.XLOOKUP(LEFT(A114,2),SECTOR!$A$2:$A$88,SECTOR!$A$2:$A$88,"")</f>
        <v/>
      </c>
      <c r="F114" t="str">
        <f>_xlfn.XLOOKUP(LEFT(A114,2),SECTOR!$A$2:$A$88,SECTOR!$B$2:$B$88,"")</f>
        <v/>
      </c>
      <c r="G114" t="str">
        <f>_xlfn.XLOOKUP(LEFT(A114,3),INDUSTRY!$A$2:$A$259,INDUSTRY!$A$2:$A$259,"")</f>
        <v>108</v>
      </c>
      <c r="H114" t="str">
        <f>_xlfn.XLOOKUP(LEFT(A114,3),INDUSTRY!$A$2:$A$259,INDUSTRY!$B$2:$B$259,"")</f>
        <v>Manufacture of prepared animal feeds</v>
      </c>
      <c r="I114" t="str">
        <f t="shared" si="2"/>
        <v>1080</v>
      </c>
      <c r="J114" t="str">
        <f t="shared" si="3"/>
        <v>Manufacture of prepared animal feeds</v>
      </c>
    </row>
    <row r="115" spans="1:10" x14ac:dyDescent="0.25">
      <c r="A115" t="s">
        <v>1056</v>
      </c>
      <c r="B115" t="s">
        <v>1057</v>
      </c>
      <c r="C115" t="s">
        <v>1012</v>
      </c>
      <c r="D115" t="str">
        <f>_xlfn.XLOOKUP(ISIC_Rev_5_english_structure__1[[#This Row],[Column4]],INDUSTRYGROUP!$C$2:$C$23,INDUSTRYGROUP!$D$2:$D$23,"NONE")</f>
        <v>Manufacturing</v>
      </c>
      <c r="E115" t="str">
        <f>_xlfn.XLOOKUP(LEFT(A115,2),SECTOR!$A$2:$A$88,SECTOR!$A$2:$A$88,"")</f>
        <v/>
      </c>
      <c r="F115" t="str">
        <f>_xlfn.XLOOKUP(LEFT(A115,2),SECTOR!$A$2:$A$88,SECTOR!$B$2:$B$88,"")</f>
        <v/>
      </c>
      <c r="G115" t="str">
        <f>_xlfn.XLOOKUP(LEFT(A115,3),INDUSTRY!$A$2:$A$259,INDUSTRY!$A$2:$A$259,"")</f>
        <v/>
      </c>
      <c r="H115" t="str">
        <f>_xlfn.XLOOKUP(LEFT(A115,3),INDUSTRY!$A$2:$A$259,INDUSTRY!$B$2:$B$259,"")</f>
        <v/>
      </c>
      <c r="I115" t="str">
        <f t="shared" si="2"/>
        <v/>
      </c>
      <c r="J115" t="str">
        <f t="shared" si="3"/>
        <v/>
      </c>
    </row>
    <row r="116" spans="1:10" x14ac:dyDescent="0.25">
      <c r="A116" t="s">
        <v>1058</v>
      </c>
      <c r="B116" t="s">
        <v>1057</v>
      </c>
      <c r="C116" t="s">
        <v>1012</v>
      </c>
      <c r="D116" t="str">
        <f>_xlfn.XLOOKUP(ISIC_Rev_5_english_structure__1[[#This Row],[Column4]],INDUSTRYGROUP!$C$2:$C$23,INDUSTRYGROUP!$D$2:$D$23,"NONE")</f>
        <v>Manufacturing</v>
      </c>
      <c r="E116" t="str">
        <f>_xlfn.XLOOKUP(LEFT(A116,2),SECTOR!$A$2:$A$88,SECTOR!$A$2:$A$88,"")</f>
        <v/>
      </c>
      <c r="F116" t="str">
        <f>_xlfn.XLOOKUP(LEFT(A116,2),SECTOR!$A$2:$A$88,SECTOR!$B$2:$B$88,"")</f>
        <v/>
      </c>
      <c r="G116" t="str">
        <f>_xlfn.XLOOKUP(LEFT(A116,3),INDUSTRY!$A$2:$A$259,INDUSTRY!$A$2:$A$259,"")</f>
        <v>110</v>
      </c>
      <c r="H116" t="str">
        <f>_xlfn.XLOOKUP(LEFT(A116,3),INDUSTRY!$A$2:$A$259,INDUSTRY!$B$2:$B$259,"")</f>
        <v>Manufacture of beverages</v>
      </c>
      <c r="I116" t="str">
        <f t="shared" si="2"/>
        <v/>
      </c>
      <c r="J116" t="str">
        <f t="shared" si="3"/>
        <v/>
      </c>
    </row>
    <row r="117" spans="1:10" x14ac:dyDescent="0.25">
      <c r="A117" t="s">
        <v>1059</v>
      </c>
      <c r="B117" t="s">
        <v>1060</v>
      </c>
      <c r="C117" t="s">
        <v>1012</v>
      </c>
      <c r="D117" t="str">
        <f>_xlfn.XLOOKUP(ISIC_Rev_5_english_structure__1[[#This Row],[Column4]],INDUSTRYGROUP!$C$2:$C$23,INDUSTRYGROUP!$D$2:$D$23,"NONE")</f>
        <v>Manufacturing</v>
      </c>
      <c r="E117" t="str">
        <f>_xlfn.XLOOKUP(LEFT(A117,2),SECTOR!$A$2:$A$88,SECTOR!$A$2:$A$88,"")</f>
        <v/>
      </c>
      <c r="F117" t="str">
        <f>_xlfn.XLOOKUP(LEFT(A117,2),SECTOR!$A$2:$A$88,SECTOR!$B$2:$B$88,"")</f>
        <v/>
      </c>
      <c r="G117" t="str">
        <f>_xlfn.XLOOKUP(LEFT(A117,3),INDUSTRY!$A$2:$A$259,INDUSTRY!$A$2:$A$259,"")</f>
        <v>110</v>
      </c>
      <c r="H117" t="str">
        <f>_xlfn.XLOOKUP(LEFT(A117,3),INDUSTRY!$A$2:$A$259,INDUSTRY!$B$2:$B$259,"")</f>
        <v>Manufacture of beverages</v>
      </c>
      <c r="I117" t="str">
        <f t="shared" si="2"/>
        <v>1101</v>
      </c>
      <c r="J117" t="str">
        <f t="shared" si="3"/>
        <v>Distilling, rectifying and blending of spirits</v>
      </c>
    </row>
    <row r="118" spans="1:10" x14ac:dyDescent="0.25">
      <c r="A118" t="s">
        <v>1061</v>
      </c>
      <c r="B118" t="s">
        <v>1062</v>
      </c>
      <c r="C118" t="s">
        <v>1012</v>
      </c>
      <c r="D118" t="str">
        <f>_xlfn.XLOOKUP(ISIC_Rev_5_english_structure__1[[#This Row],[Column4]],INDUSTRYGROUP!$C$2:$C$23,INDUSTRYGROUP!$D$2:$D$23,"NONE")</f>
        <v>Manufacturing</v>
      </c>
      <c r="E118" t="str">
        <f>_xlfn.XLOOKUP(LEFT(A118,2),SECTOR!$A$2:$A$88,SECTOR!$A$2:$A$88,"")</f>
        <v/>
      </c>
      <c r="F118" t="str">
        <f>_xlfn.XLOOKUP(LEFT(A118,2),SECTOR!$A$2:$A$88,SECTOR!$B$2:$B$88,"")</f>
        <v/>
      </c>
      <c r="G118" t="str">
        <f>_xlfn.XLOOKUP(LEFT(A118,3),INDUSTRY!$A$2:$A$259,INDUSTRY!$A$2:$A$259,"")</f>
        <v>110</v>
      </c>
      <c r="H118" t="str">
        <f>_xlfn.XLOOKUP(LEFT(A118,3),INDUSTRY!$A$2:$A$259,INDUSTRY!$B$2:$B$259,"")</f>
        <v>Manufacture of beverages</v>
      </c>
      <c r="I118" t="str">
        <f t="shared" si="2"/>
        <v>1102</v>
      </c>
      <c r="J118" t="str">
        <f t="shared" si="3"/>
        <v>Manufacture of wines</v>
      </c>
    </row>
    <row r="119" spans="1:10" x14ac:dyDescent="0.25">
      <c r="A119" t="s">
        <v>1063</v>
      </c>
      <c r="B119" t="s">
        <v>1064</v>
      </c>
      <c r="C119" t="s">
        <v>1012</v>
      </c>
      <c r="D119" t="str">
        <f>_xlfn.XLOOKUP(ISIC_Rev_5_english_structure__1[[#This Row],[Column4]],INDUSTRYGROUP!$C$2:$C$23,INDUSTRYGROUP!$D$2:$D$23,"NONE")</f>
        <v>Manufacturing</v>
      </c>
      <c r="E119" t="str">
        <f>_xlfn.XLOOKUP(LEFT(A119,2),SECTOR!$A$2:$A$88,SECTOR!$A$2:$A$88,"")</f>
        <v/>
      </c>
      <c r="F119" t="str">
        <f>_xlfn.XLOOKUP(LEFT(A119,2),SECTOR!$A$2:$A$88,SECTOR!$B$2:$B$88,"")</f>
        <v/>
      </c>
      <c r="G119" t="str">
        <f>_xlfn.XLOOKUP(LEFT(A119,3),INDUSTRY!$A$2:$A$259,INDUSTRY!$A$2:$A$259,"")</f>
        <v>110</v>
      </c>
      <c r="H119" t="str">
        <f>_xlfn.XLOOKUP(LEFT(A119,3),INDUSTRY!$A$2:$A$259,INDUSTRY!$B$2:$B$259,"")</f>
        <v>Manufacture of beverages</v>
      </c>
      <c r="I119" t="str">
        <f t="shared" si="2"/>
        <v>1103</v>
      </c>
      <c r="J119" t="str">
        <f t="shared" si="3"/>
        <v>Manufacture of beer</v>
      </c>
    </row>
    <row r="120" spans="1:10" x14ac:dyDescent="0.25">
      <c r="A120" t="s">
        <v>1065</v>
      </c>
      <c r="B120" t="s">
        <v>1066</v>
      </c>
      <c r="C120" t="s">
        <v>1012</v>
      </c>
      <c r="D120" t="str">
        <f>_xlfn.XLOOKUP(ISIC_Rev_5_english_structure__1[[#This Row],[Column4]],INDUSTRYGROUP!$C$2:$C$23,INDUSTRYGROUP!$D$2:$D$23,"NONE")</f>
        <v>Manufacturing</v>
      </c>
      <c r="E120" t="str">
        <f>_xlfn.XLOOKUP(LEFT(A120,2),SECTOR!$A$2:$A$88,SECTOR!$A$2:$A$88,"")</f>
        <v/>
      </c>
      <c r="F120" t="str">
        <f>_xlfn.XLOOKUP(LEFT(A120,2),SECTOR!$A$2:$A$88,SECTOR!$B$2:$B$88,"")</f>
        <v/>
      </c>
      <c r="G120" t="str">
        <f>_xlfn.XLOOKUP(LEFT(A120,3),INDUSTRY!$A$2:$A$259,INDUSTRY!$A$2:$A$259,"")</f>
        <v>110</v>
      </c>
      <c r="H120" t="str">
        <f>_xlfn.XLOOKUP(LEFT(A120,3),INDUSTRY!$A$2:$A$259,INDUSTRY!$B$2:$B$259,"")</f>
        <v>Manufacture of beverages</v>
      </c>
      <c r="I120" t="str">
        <f t="shared" si="2"/>
        <v>1104</v>
      </c>
      <c r="J120" t="str">
        <f t="shared" si="3"/>
        <v>Manufacture of malt</v>
      </c>
    </row>
    <row r="121" spans="1:10" x14ac:dyDescent="0.25">
      <c r="A121" t="s">
        <v>1067</v>
      </c>
      <c r="B121" t="s">
        <v>1068</v>
      </c>
      <c r="C121" t="s">
        <v>1012</v>
      </c>
      <c r="D121" t="str">
        <f>_xlfn.XLOOKUP(ISIC_Rev_5_english_structure__1[[#This Row],[Column4]],INDUSTRYGROUP!$C$2:$C$23,INDUSTRYGROUP!$D$2:$D$23,"NONE")</f>
        <v>Manufacturing</v>
      </c>
      <c r="E121" t="str">
        <f>_xlfn.XLOOKUP(LEFT(A121,2),SECTOR!$A$2:$A$88,SECTOR!$A$2:$A$88,"")</f>
        <v/>
      </c>
      <c r="F121" t="str">
        <f>_xlfn.XLOOKUP(LEFT(A121,2),SECTOR!$A$2:$A$88,SECTOR!$B$2:$B$88,"")</f>
        <v/>
      </c>
      <c r="G121" t="str">
        <f>_xlfn.XLOOKUP(LEFT(A121,3),INDUSTRY!$A$2:$A$259,INDUSTRY!$A$2:$A$259,"")</f>
        <v>110</v>
      </c>
      <c r="H121" t="str">
        <f>_xlfn.XLOOKUP(LEFT(A121,3),INDUSTRY!$A$2:$A$259,INDUSTRY!$B$2:$B$259,"")</f>
        <v>Manufacture of beverages</v>
      </c>
      <c r="I121" t="str">
        <f t="shared" si="2"/>
        <v>1105</v>
      </c>
      <c r="J121" t="str">
        <f t="shared" si="3"/>
        <v>Manufacture of soft drinks; production of mineral waters and other bottled waters</v>
      </c>
    </row>
    <row r="122" spans="1:10" x14ac:dyDescent="0.25">
      <c r="A122" t="s">
        <v>1069</v>
      </c>
      <c r="B122" t="s">
        <v>1070</v>
      </c>
      <c r="C122" t="s">
        <v>1012</v>
      </c>
      <c r="D122" t="str">
        <f>_xlfn.XLOOKUP(ISIC_Rev_5_english_structure__1[[#This Row],[Column4]],INDUSTRYGROUP!$C$2:$C$23,INDUSTRYGROUP!$D$2:$D$23,"NONE")</f>
        <v>Manufacturing</v>
      </c>
      <c r="E122" t="str">
        <f>_xlfn.XLOOKUP(LEFT(A122,2),SECTOR!$A$2:$A$88,SECTOR!$A$2:$A$88,"")</f>
        <v/>
      </c>
      <c r="F122" t="str">
        <f>_xlfn.XLOOKUP(LEFT(A122,2),SECTOR!$A$2:$A$88,SECTOR!$B$2:$B$88,"")</f>
        <v/>
      </c>
      <c r="G122" t="str">
        <f>_xlfn.XLOOKUP(LEFT(A122,3),INDUSTRY!$A$2:$A$259,INDUSTRY!$A$2:$A$259,"")</f>
        <v/>
      </c>
      <c r="H122" t="str">
        <f>_xlfn.XLOOKUP(LEFT(A122,3),INDUSTRY!$A$2:$A$259,INDUSTRY!$B$2:$B$259,"")</f>
        <v/>
      </c>
      <c r="I122" t="str">
        <f t="shared" si="2"/>
        <v/>
      </c>
      <c r="J122" t="str">
        <f t="shared" si="3"/>
        <v/>
      </c>
    </row>
    <row r="123" spans="1:10" x14ac:dyDescent="0.25">
      <c r="A123" t="s">
        <v>1071</v>
      </c>
      <c r="B123" t="s">
        <v>1070</v>
      </c>
      <c r="C123" t="s">
        <v>1012</v>
      </c>
      <c r="D123" t="str">
        <f>_xlfn.XLOOKUP(ISIC_Rev_5_english_structure__1[[#This Row],[Column4]],INDUSTRYGROUP!$C$2:$C$23,INDUSTRYGROUP!$D$2:$D$23,"NONE")</f>
        <v>Manufacturing</v>
      </c>
      <c r="E123" t="str">
        <f>_xlfn.XLOOKUP(LEFT(A123,2),SECTOR!$A$2:$A$88,SECTOR!$A$2:$A$88,"")</f>
        <v/>
      </c>
      <c r="F123" t="str">
        <f>_xlfn.XLOOKUP(LEFT(A123,2),SECTOR!$A$2:$A$88,SECTOR!$B$2:$B$88,"")</f>
        <v/>
      </c>
      <c r="G123" t="str">
        <f>_xlfn.XLOOKUP(LEFT(A123,3),INDUSTRY!$A$2:$A$259,INDUSTRY!$A$2:$A$259,"")</f>
        <v>120</v>
      </c>
      <c r="H123" t="str">
        <f>_xlfn.XLOOKUP(LEFT(A123,3),INDUSTRY!$A$2:$A$259,INDUSTRY!$B$2:$B$259,"")</f>
        <v>Manufacture of tobacco products</v>
      </c>
      <c r="I123" t="str">
        <f t="shared" si="2"/>
        <v/>
      </c>
      <c r="J123" t="str">
        <f t="shared" si="3"/>
        <v/>
      </c>
    </row>
    <row r="124" spans="1:10" x14ac:dyDescent="0.25">
      <c r="A124" t="s">
        <v>1072</v>
      </c>
      <c r="B124" t="s">
        <v>1070</v>
      </c>
      <c r="C124" t="s">
        <v>1012</v>
      </c>
      <c r="D124" t="str">
        <f>_xlfn.XLOOKUP(ISIC_Rev_5_english_structure__1[[#This Row],[Column4]],INDUSTRYGROUP!$C$2:$C$23,INDUSTRYGROUP!$D$2:$D$23,"NONE")</f>
        <v>Manufacturing</v>
      </c>
      <c r="E124" t="str">
        <f>_xlfn.XLOOKUP(LEFT(A124,2),SECTOR!$A$2:$A$88,SECTOR!$A$2:$A$88,"")</f>
        <v/>
      </c>
      <c r="F124" t="str">
        <f>_xlfn.XLOOKUP(LEFT(A124,2),SECTOR!$A$2:$A$88,SECTOR!$B$2:$B$88,"")</f>
        <v/>
      </c>
      <c r="G124" t="str">
        <f>_xlfn.XLOOKUP(LEFT(A124,3),INDUSTRY!$A$2:$A$259,INDUSTRY!$A$2:$A$259,"")</f>
        <v>120</v>
      </c>
      <c r="H124" t="str">
        <f>_xlfn.XLOOKUP(LEFT(A124,3),INDUSTRY!$A$2:$A$259,INDUSTRY!$B$2:$B$259,"")</f>
        <v>Manufacture of tobacco products</v>
      </c>
      <c r="I124" t="str">
        <f t="shared" si="2"/>
        <v>1200</v>
      </c>
      <c r="J124" t="str">
        <f t="shared" si="3"/>
        <v>Manufacture of tobacco products</v>
      </c>
    </row>
    <row r="125" spans="1:10" x14ac:dyDescent="0.25">
      <c r="A125" t="s">
        <v>1073</v>
      </c>
      <c r="B125" t="s">
        <v>1074</v>
      </c>
      <c r="C125" t="s">
        <v>1012</v>
      </c>
      <c r="D125" t="str">
        <f>_xlfn.XLOOKUP(ISIC_Rev_5_english_structure__1[[#This Row],[Column4]],INDUSTRYGROUP!$C$2:$C$23,INDUSTRYGROUP!$D$2:$D$23,"NONE")</f>
        <v>Manufacturing</v>
      </c>
      <c r="E125" t="str">
        <f>_xlfn.XLOOKUP(LEFT(A125,2),SECTOR!$A$2:$A$88,SECTOR!$A$2:$A$88,"")</f>
        <v/>
      </c>
      <c r="F125" t="str">
        <f>_xlfn.XLOOKUP(LEFT(A125,2),SECTOR!$A$2:$A$88,SECTOR!$B$2:$B$88,"")</f>
        <v/>
      </c>
      <c r="G125" t="str">
        <f>_xlfn.XLOOKUP(LEFT(A125,3),INDUSTRY!$A$2:$A$259,INDUSTRY!$A$2:$A$259,"")</f>
        <v/>
      </c>
      <c r="H125" t="str">
        <f>_xlfn.XLOOKUP(LEFT(A125,3),INDUSTRY!$A$2:$A$259,INDUSTRY!$B$2:$B$259,"")</f>
        <v/>
      </c>
      <c r="I125" t="str">
        <f t="shared" si="2"/>
        <v/>
      </c>
      <c r="J125" t="str">
        <f t="shared" si="3"/>
        <v/>
      </c>
    </row>
    <row r="126" spans="1:10" x14ac:dyDescent="0.25">
      <c r="A126" t="s">
        <v>1075</v>
      </c>
      <c r="B126" t="s">
        <v>1076</v>
      </c>
      <c r="C126" t="s">
        <v>1012</v>
      </c>
      <c r="D126" t="str">
        <f>_xlfn.XLOOKUP(ISIC_Rev_5_english_structure__1[[#This Row],[Column4]],INDUSTRYGROUP!$C$2:$C$23,INDUSTRYGROUP!$D$2:$D$23,"NONE")</f>
        <v>Manufacturing</v>
      </c>
      <c r="E126" t="str">
        <f>_xlfn.XLOOKUP(LEFT(A126,2),SECTOR!$A$2:$A$88,SECTOR!$A$2:$A$88,"")</f>
        <v/>
      </c>
      <c r="F126" t="str">
        <f>_xlfn.XLOOKUP(LEFT(A126,2),SECTOR!$A$2:$A$88,SECTOR!$B$2:$B$88,"")</f>
        <v/>
      </c>
      <c r="G126" t="str">
        <f>_xlfn.XLOOKUP(LEFT(A126,3),INDUSTRY!$A$2:$A$259,INDUSTRY!$A$2:$A$259,"")</f>
        <v>131</v>
      </c>
      <c r="H126" t="str">
        <f>_xlfn.XLOOKUP(LEFT(A126,3),INDUSTRY!$A$2:$A$259,INDUSTRY!$B$2:$B$259,"")</f>
        <v>Spinning, weaving and finishing of textiles</v>
      </c>
      <c r="I126" t="str">
        <f t="shared" si="2"/>
        <v/>
      </c>
      <c r="J126" t="str">
        <f t="shared" si="3"/>
        <v/>
      </c>
    </row>
    <row r="127" spans="1:10" x14ac:dyDescent="0.25">
      <c r="A127" t="s">
        <v>1077</v>
      </c>
      <c r="B127" t="s">
        <v>1078</v>
      </c>
      <c r="C127" t="s">
        <v>1012</v>
      </c>
      <c r="D127" t="str">
        <f>_xlfn.XLOOKUP(ISIC_Rev_5_english_structure__1[[#This Row],[Column4]],INDUSTRYGROUP!$C$2:$C$23,INDUSTRYGROUP!$D$2:$D$23,"NONE")</f>
        <v>Manufacturing</v>
      </c>
      <c r="E127" t="str">
        <f>_xlfn.XLOOKUP(LEFT(A127,2),SECTOR!$A$2:$A$88,SECTOR!$A$2:$A$88,"")</f>
        <v/>
      </c>
      <c r="F127" t="str">
        <f>_xlfn.XLOOKUP(LEFT(A127,2),SECTOR!$A$2:$A$88,SECTOR!$B$2:$B$88,"")</f>
        <v/>
      </c>
      <c r="G127" t="str">
        <f>_xlfn.XLOOKUP(LEFT(A127,3),INDUSTRY!$A$2:$A$259,INDUSTRY!$A$2:$A$259,"")</f>
        <v>131</v>
      </c>
      <c r="H127" t="str">
        <f>_xlfn.XLOOKUP(LEFT(A127,3),INDUSTRY!$A$2:$A$259,INDUSTRY!$B$2:$B$259,"")</f>
        <v>Spinning, weaving and finishing of textiles</v>
      </c>
      <c r="I127" t="str">
        <f t="shared" si="2"/>
        <v>1311</v>
      </c>
      <c r="J127" t="str">
        <f t="shared" si="3"/>
        <v>Preparation and spinning of textile fibres</v>
      </c>
    </row>
    <row r="128" spans="1:10" x14ac:dyDescent="0.25">
      <c r="A128" t="s">
        <v>1079</v>
      </c>
      <c r="B128" t="s">
        <v>1080</v>
      </c>
      <c r="C128" t="s">
        <v>1012</v>
      </c>
      <c r="D128" t="str">
        <f>_xlfn.XLOOKUP(ISIC_Rev_5_english_structure__1[[#This Row],[Column4]],INDUSTRYGROUP!$C$2:$C$23,INDUSTRYGROUP!$D$2:$D$23,"NONE")</f>
        <v>Manufacturing</v>
      </c>
      <c r="E128" t="str">
        <f>_xlfn.XLOOKUP(LEFT(A128,2),SECTOR!$A$2:$A$88,SECTOR!$A$2:$A$88,"")</f>
        <v/>
      </c>
      <c r="F128" t="str">
        <f>_xlfn.XLOOKUP(LEFT(A128,2),SECTOR!$A$2:$A$88,SECTOR!$B$2:$B$88,"")</f>
        <v/>
      </c>
      <c r="G128" t="str">
        <f>_xlfn.XLOOKUP(LEFT(A128,3),INDUSTRY!$A$2:$A$259,INDUSTRY!$A$2:$A$259,"")</f>
        <v>131</v>
      </c>
      <c r="H128" t="str">
        <f>_xlfn.XLOOKUP(LEFT(A128,3),INDUSTRY!$A$2:$A$259,INDUSTRY!$B$2:$B$259,"")</f>
        <v>Spinning, weaving and finishing of textiles</v>
      </c>
      <c r="I128" t="str">
        <f t="shared" si="2"/>
        <v>1312</v>
      </c>
      <c r="J128" t="str">
        <f t="shared" si="3"/>
        <v>Weaving of textiles</v>
      </c>
    </row>
    <row r="129" spans="1:10" x14ac:dyDescent="0.25">
      <c r="A129" t="s">
        <v>1081</v>
      </c>
      <c r="B129" t="s">
        <v>1082</v>
      </c>
      <c r="C129" t="s">
        <v>1012</v>
      </c>
      <c r="D129" t="str">
        <f>_xlfn.XLOOKUP(ISIC_Rev_5_english_structure__1[[#This Row],[Column4]],INDUSTRYGROUP!$C$2:$C$23,INDUSTRYGROUP!$D$2:$D$23,"NONE")</f>
        <v>Manufacturing</v>
      </c>
      <c r="E129" t="str">
        <f>_xlfn.XLOOKUP(LEFT(A129,2),SECTOR!$A$2:$A$88,SECTOR!$A$2:$A$88,"")</f>
        <v/>
      </c>
      <c r="F129" t="str">
        <f>_xlfn.XLOOKUP(LEFT(A129,2),SECTOR!$A$2:$A$88,SECTOR!$B$2:$B$88,"")</f>
        <v/>
      </c>
      <c r="G129" t="str">
        <f>_xlfn.XLOOKUP(LEFT(A129,3),INDUSTRY!$A$2:$A$259,INDUSTRY!$A$2:$A$259,"")</f>
        <v>131</v>
      </c>
      <c r="H129" t="str">
        <f>_xlfn.XLOOKUP(LEFT(A129,3),INDUSTRY!$A$2:$A$259,INDUSTRY!$B$2:$B$259,"")</f>
        <v>Spinning, weaving and finishing of textiles</v>
      </c>
      <c r="I129" t="str">
        <f t="shared" si="2"/>
        <v>1313</v>
      </c>
      <c r="J129" t="str">
        <f t="shared" si="3"/>
        <v>Finishing of textiles</v>
      </c>
    </row>
    <row r="130" spans="1:10" x14ac:dyDescent="0.25">
      <c r="A130" t="s">
        <v>1083</v>
      </c>
      <c r="B130" t="s">
        <v>1084</v>
      </c>
      <c r="C130" t="s">
        <v>1012</v>
      </c>
      <c r="D130" t="str">
        <f>_xlfn.XLOOKUP(ISIC_Rev_5_english_structure__1[[#This Row],[Column4]],INDUSTRYGROUP!$C$2:$C$23,INDUSTRYGROUP!$D$2:$D$23,"NONE")</f>
        <v>Manufacturing</v>
      </c>
      <c r="E130" t="str">
        <f>_xlfn.XLOOKUP(LEFT(A130,2),SECTOR!$A$2:$A$88,SECTOR!$A$2:$A$88,"")</f>
        <v/>
      </c>
      <c r="F130" t="str">
        <f>_xlfn.XLOOKUP(LEFT(A130,2),SECTOR!$A$2:$A$88,SECTOR!$B$2:$B$88,"")</f>
        <v/>
      </c>
      <c r="G130" t="str">
        <f>_xlfn.XLOOKUP(LEFT(A130,3),INDUSTRY!$A$2:$A$259,INDUSTRY!$A$2:$A$259,"")</f>
        <v>139</v>
      </c>
      <c r="H130" t="str">
        <f>_xlfn.XLOOKUP(LEFT(A130,3),INDUSTRY!$A$2:$A$259,INDUSTRY!$B$2:$B$259,"")</f>
        <v>Manufacture of other textiles</v>
      </c>
      <c r="I130" t="str">
        <f t="shared" ref="I130:I193" si="4">IF(LEN(A130)=4,A130,"")</f>
        <v/>
      </c>
      <c r="J130" t="str">
        <f t="shared" ref="J130:J193" si="5">IF(LEN(A130)=4,B130,"")</f>
        <v/>
      </c>
    </row>
    <row r="131" spans="1:10" x14ac:dyDescent="0.25">
      <c r="A131" t="s">
        <v>1085</v>
      </c>
      <c r="B131" t="s">
        <v>1086</v>
      </c>
      <c r="C131" t="s">
        <v>1012</v>
      </c>
      <c r="D131" t="str">
        <f>_xlfn.XLOOKUP(ISIC_Rev_5_english_structure__1[[#This Row],[Column4]],INDUSTRYGROUP!$C$2:$C$23,INDUSTRYGROUP!$D$2:$D$23,"NONE")</f>
        <v>Manufacturing</v>
      </c>
      <c r="E131" t="str">
        <f>_xlfn.XLOOKUP(LEFT(A131,2),SECTOR!$A$2:$A$88,SECTOR!$A$2:$A$88,"")</f>
        <v/>
      </c>
      <c r="F131" t="str">
        <f>_xlfn.XLOOKUP(LEFT(A131,2),SECTOR!$A$2:$A$88,SECTOR!$B$2:$B$88,"")</f>
        <v/>
      </c>
      <c r="G131" t="str">
        <f>_xlfn.XLOOKUP(LEFT(A131,3),INDUSTRY!$A$2:$A$259,INDUSTRY!$A$2:$A$259,"")</f>
        <v>139</v>
      </c>
      <c r="H131" t="str">
        <f>_xlfn.XLOOKUP(LEFT(A131,3),INDUSTRY!$A$2:$A$259,INDUSTRY!$B$2:$B$259,"")</f>
        <v>Manufacture of other textiles</v>
      </c>
      <c r="I131" t="str">
        <f t="shared" si="4"/>
        <v>1391</v>
      </c>
      <c r="J131" t="str">
        <f t="shared" si="5"/>
        <v>Manufacture of knitted and crocheted fabrics</v>
      </c>
    </row>
    <row r="132" spans="1:10" x14ac:dyDescent="0.25">
      <c r="A132" t="s">
        <v>1087</v>
      </c>
      <c r="B132" t="s">
        <v>1088</v>
      </c>
      <c r="C132" t="s">
        <v>1012</v>
      </c>
      <c r="D132" t="str">
        <f>_xlfn.XLOOKUP(ISIC_Rev_5_english_structure__1[[#This Row],[Column4]],INDUSTRYGROUP!$C$2:$C$23,INDUSTRYGROUP!$D$2:$D$23,"NONE")</f>
        <v>Manufacturing</v>
      </c>
      <c r="E132" t="str">
        <f>_xlfn.XLOOKUP(LEFT(A132,2),SECTOR!$A$2:$A$88,SECTOR!$A$2:$A$88,"")</f>
        <v/>
      </c>
      <c r="F132" t="str">
        <f>_xlfn.XLOOKUP(LEFT(A132,2),SECTOR!$A$2:$A$88,SECTOR!$B$2:$B$88,"")</f>
        <v/>
      </c>
      <c r="G132" t="str">
        <f>_xlfn.XLOOKUP(LEFT(A132,3),INDUSTRY!$A$2:$A$259,INDUSTRY!$A$2:$A$259,"")</f>
        <v>139</v>
      </c>
      <c r="H132" t="str">
        <f>_xlfn.XLOOKUP(LEFT(A132,3),INDUSTRY!$A$2:$A$259,INDUSTRY!$B$2:$B$259,"")</f>
        <v>Manufacture of other textiles</v>
      </c>
      <c r="I132" t="str">
        <f t="shared" si="4"/>
        <v>1392</v>
      </c>
      <c r="J132" t="str">
        <f t="shared" si="5"/>
        <v>Manufacture of made-up textile articles, except apparel</v>
      </c>
    </row>
    <row r="133" spans="1:10" x14ac:dyDescent="0.25">
      <c r="A133" t="s">
        <v>1089</v>
      </c>
      <c r="B133" t="s">
        <v>1090</v>
      </c>
      <c r="C133" t="s">
        <v>1012</v>
      </c>
      <c r="D133" t="str">
        <f>_xlfn.XLOOKUP(ISIC_Rev_5_english_structure__1[[#This Row],[Column4]],INDUSTRYGROUP!$C$2:$C$23,INDUSTRYGROUP!$D$2:$D$23,"NONE")</f>
        <v>Manufacturing</v>
      </c>
      <c r="E133" t="str">
        <f>_xlfn.XLOOKUP(LEFT(A133,2),SECTOR!$A$2:$A$88,SECTOR!$A$2:$A$88,"")</f>
        <v/>
      </c>
      <c r="F133" t="str">
        <f>_xlfn.XLOOKUP(LEFT(A133,2),SECTOR!$A$2:$A$88,SECTOR!$B$2:$B$88,"")</f>
        <v/>
      </c>
      <c r="G133" t="str">
        <f>_xlfn.XLOOKUP(LEFT(A133,3),INDUSTRY!$A$2:$A$259,INDUSTRY!$A$2:$A$259,"")</f>
        <v>139</v>
      </c>
      <c r="H133" t="str">
        <f>_xlfn.XLOOKUP(LEFT(A133,3),INDUSTRY!$A$2:$A$259,INDUSTRY!$B$2:$B$259,"")</f>
        <v>Manufacture of other textiles</v>
      </c>
      <c r="I133" t="str">
        <f t="shared" si="4"/>
        <v>1393</v>
      </c>
      <c r="J133" t="str">
        <f t="shared" si="5"/>
        <v>Manufacture of carpets and rugs</v>
      </c>
    </row>
    <row r="134" spans="1:10" x14ac:dyDescent="0.25">
      <c r="A134" t="s">
        <v>1091</v>
      </c>
      <c r="B134" t="s">
        <v>1092</v>
      </c>
      <c r="C134" t="s">
        <v>1012</v>
      </c>
      <c r="D134" t="str">
        <f>_xlfn.XLOOKUP(ISIC_Rev_5_english_structure__1[[#This Row],[Column4]],INDUSTRYGROUP!$C$2:$C$23,INDUSTRYGROUP!$D$2:$D$23,"NONE")</f>
        <v>Manufacturing</v>
      </c>
      <c r="E134" t="str">
        <f>_xlfn.XLOOKUP(LEFT(A134,2),SECTOR!$A$2:$A$88,SECTOR!$A$2:$A$88,"")</f>
        <v/>
      </c>
      <c r="F134" t="str">
        <f>_xlfn.XLOOKUP(LEFT(A134,2),SECTOR!$A$2:$A$88,SECTOR!$B$2:$B$88,"")</f>
        <v/>
      </c>
      <c r="G134" t="str">
        <f>_xlfn.XLOOKUP(LEFT(A134,3),INDUSTRY!$A$2:$A$259,INDUSTRY!$A$2:$A$259,"")</f>
        <v>139</v>
      </c>
      <c r="H134" t="str">
        <f>_xlfn.XLOOKUP(LEFT(A134,3),INDUSTRY!$A$2:$A$259,INDUSTRY!$B$2:$B$259,"")</f>
        <v>Manufacture of other textiles</v>
      </c>
      <c r="I134" t="str">
        <f t="shared" si="4"/>
        <v>1394</v>
      </c>
      <c r="J134" t="str">
        <f t="shared" si="5"/>
        <v>Manufacture of cordage, rope, twine and netting</v>
      </c>
    </row>
    <row r="135" spans="1:10" x14ac:dyDescent="0.25">
      <c r="A135" t="s">
        <v>1093</v>
      </c>
      <c r="B135" t="s">
        <v>1094</v>
      </c>
      <c r="C135" t="s">
        <v>1012</v>
      </c>
      <c r="D135" t="str">
        <f>_xlfn.XLOOKUP(ISIC_Rev_5_english_structure__1[[#This Row],[Column4]],INDUSTRYGROUP!$C$2:$C$23,INDUSTRYGROUP!$D$2:$D$23,"NONE")</f>
        <v>Manufacturing</v>
      </c>
      <c r="E135" t="str">
        <f>_xlfn.XLOOKUP(LEFT(A135,2),SECTOR!$A$2:$A$88,SECTOR!$A$2:$A$88,"")</f>
        <v/>
      </c>
      <c r="F135" t="str">
        <f>_xlfn.XLOOKUP(LEFT(A135,2),SECTOR!$A$2:$A$88,SECTOR!$B$2:$B$88,"")</f>
        <v/>
      </c>
      <c r="G135" t="str">
        <f>_xlfn.XLOOKUP(LEFT(A135,3),INDUSTRY!$A$2:$A$259,INDUSTRY!$A$2:$A$259,"")</f>
        <v>139</v>
      </c>
      <c r="H135" t="str">
        <f>_xlfn.XLOOKUP(LEFT(A135,3),INDUSTRY!$A$2:$A$259,INDUSTRY!$B$2:$B$259,"")</f>
        <v>Manufacture of other textiles</v>
      </c>
      <c r="I135" t="str">
        <f t="shared" si="4"/>
        <v>1399</v>
      </c>
      <c r="J135" t="str">
        <f t="shared" si="5"/>
        <v>Manufacture of other textiles n.e.c.</v>
      </c>
    </row>
    <row r="136" spans="1:10" x14ac:dyDescent="0.25">
      <c r="A136" t="s">
        <v>1095</v>
      </c>
      <c r="B136" t="s">
        <v>1096</v>
      </c>
      <c r="C136" t="s">
        <v>1012</v>
      </c>
      <c r="D136" t="str">
        <f>_xlfn.XLOOKUP(ISIC_Rev_5_english_structure__1[[#This Row],[Column4]],INDUSTRYGROUP!$C$2:$C$23,INDUSTRYGROUP!$D$2:$D$23,"NONE")</f>
        <v>Manufacturing</v>
      </c>
      <c r="E136" t="str">
        <f>_xlfn.XLOOKUP(LEFT(A136,2),SECTOR!$A$2:$A$88,SECTOR!$A$2:$A$88,"")</f>
        <v/>
      </c>
      <c r="F136" t="str">
        <f>_xlfn.XLOOKUP(LEFT(A136,2),SECTOR!$A$2:$A$88,SECTOR!$B$2:$B$88,"")</f>
        <v/>
      </c>
      <c r="G136" t="str">
        <f>_xlfn.XLOOKUP(LEFT(A136,3),INDUSTRY!$A$2:$A$259,INDUSTRY!$A$2:$A$259,"")</f>
        <v/>
      </c>
      <c r="H136" t="str">
        <f>_xlfn.XLOOKUP(LEFT(A136,3),INDUSTRY!$A$2:$A$259,INDUSTRY!$B$2:$B$259,"")</f>
        <v/>
      </c>
      <c r="I136" t="str">
        <f t="shared" si="4"/>
        <v/>
      </c>
      <c r="J136" t="str">
        <f t="shared" si="5"/>
        <v/>
      </c>
    </row>
    <row r="137" spans="1:10" x14ac:dyDescent="0.25">
      <c r="A137" t="s">
        <v>1097</v>
      </c>
      <c r="B137" t="s">
        <v>1098</v>
      </c>
      <c r="C137" t="s">
        <v>1012</v>
      </c>
      <c r="D137" t="str">
        <f>_xlfn.XLOOKUP(ISIC_Rev_5_english_structure__1[[#This Row],[Column4]],INDUSTRYGROUP!$C$2:$C$23,INDUSTRYGROUP!$D$2:$D$23,"NONE")</f>
        <v>Manufacturing</v>
      </c>
      <c r="E137" t="str">
        <f>_xlfn.XLOOKUP(LEFT(A137,2),SECTOR!$A$2:$A$88,SECTOR!$A$2:$A$88,"")</f>
        <v/>
      </c>
      <c r="F137" t="str">
        <f>_xlfn.XLOOKUP(LEFT(A137,2),SECTOR!$A$2:$A$88,SECTOR!$B$2:$B$88,"")</f>
        <v/>
      </c>
      <c r="G137" t="str">
        <f>_xlfn.XLOOKUP(LEFT(A137,3),INDUSTRY!$A$2:$A$259,INDUSTRY!$A$2:$A$259,"")</f>
        <v>141</v>
      </c>
      <c r="H137" t="str">
        <f>_xlfn.XLOOKUP(LEFT(A137,3),INDUSTRY!$A$2:$A$259,INDUSTRY!$B$2:$B$259,"")</f>
        <v>Manufacture of wearing apparel, except fur apparel</v>
      </c>
      <c r="I137" t="str">
        <f t="shared" si="4"/>
        <v/>
      </c>
      <c r="J137" t="str">
        <f t="shared" si="5"/>
        <v/>
      </c>
    </row>
    <row r="138" spans="1:10" x14ac:dyDescent="0.25">
      <c r="A138" t="s">
        <v>1099</v>
      </c>
      <c r="B138" t="s">
        <v>1098</v>
      </c>
      <c r="C138" t="s">
        <v>1012</v>
      </c>
      <c r="D138" t="str">
        <f>_xlfn.XLOOKUP(ISIC_Rev_5_english_structure__1[[#This Row],[Column4]],INDUSTRYGROUP!$C$2:$C$23,INDUSTRYGROUP!$D$2:$D$23,"NONE")</f>
        <v>Manufacturing</v>
      </c>
      <c r="E138" t="str">
        <f>_xlfn.XLOOKUP(LEFT(A138,2),SECTOR!$A$2:$A$88,SECTOR!$A$2:$A$88,"")</f>
        <v/>
      </c>
      <c r="F138" t="str">
        <f>_xlfn.XLOOKUP(LEFT(A138,2),SECTOR!$A$2:$A$88,SECTOR!$B$2:$B$88,"")</f>
        <v/>
      </c>
      <c r="G138" t="str">
        <f>_xlfn.XLOOKUP(LEFT(A138,3),INDUSTRY!$A$2:$A$259,INDUSTRY!$A$2:$A$259,"")</f>
        <v>141</v>
      </c>
      <c r="H138" t="str">
        <f>_xlfn.XLOOKUP(LEFT(A138,3),INDUSTRY!$A$2:$A$259,INDUSTRY!$B$2:$B$259,"")</f>
        <v>Manufacture of wearing apparel, except fur apparel</v>
      </c>
      <c r="I138" t="str">
        <f t="shared" si="4"/>
        <v>1410</v>
      </c>
      <c r="J138" t="str">
        <f t="shared" si="5"/>
        <v>Manufacture of wearing apparel, except fur apparel</v>
      </c>
    </row>
    <row r="139" spans="1:10" x14ac:dyDescent="0.25">
      <c r="A139" t="s">
        <v>1100</v>
      </c>
      <c r="B139" t="s">
        <v>1101</v>
      </c>
      <c r="C139" t="s">
        <v>1012</v>
      </c>
      <c r="D139" t="str">
        <f>_xlfn.XLOOKUP(ISIC_Rev_5_english_structure__1[[#This Row],[Column4]],INDUSTRYGROUP!$C$2:$C$23,INDUSTRYGROUP!$D$2:$D$23,"NONE")</f>
        <v>Manufacturing</v>
      </c>
      <c r="E139" t="str">
        <f>_xlfn.XLOOKUP(LEFT(A139,2),SECTOR!$A$2:$A$88,SECTOR!$A$2:$A$88,"")</f>
        <v/>
      </c>
      <c r="F139" t="str">
        <f>_xlfn.XLOOKUP(LEFT(A139,2),SECTOR!$A$2:$A$88,SECTOR!$B$2:$B$88,"")</f>
        <v/>
      </c>
      <c r="G139" t="str">
        <f>_xlfn.XLOOKUP(LEFT(A139,3),INDUSTRY!$A$2:$A$259,INDUSTRY!$A$2:$A$259,"")</f>
        <v>142</v>
      </c>
      <c r="H139" t="str">
        <f>_xlfn.XLOOKUP(LEFT(A139,3),INDUSTRY!$A$2:$A$259,INDUSTRY!$B$2:$B$259,"")</f>
        <v>Manufacture of articles of fur</v>
      </c>
      <c r="I139" t="str">
        <f t="shared" si="4"/>
        <v/>
      </c>
      <c r="J139" t="str">
        <f t="shared" si="5"/>
        <v/>
      </c>
    </row>
    <row r="140" spans="1:10" x14ac:dyDescent="0.25">
      <c r="A140" t="s">
        <v>1102</v>
      </c>
      <c r="B140" t="s">
        <v>1101</v>
      </c>
      <c r="C140" t="s">
        <v>1012</v>
      </c>
      <c r="D140" t="str">
        <f>_xlfn.XLOOKUP(ISIC_Rev_5_english_structure__1[[#This Row],[Column4]],INDUSTRYGROUP!$C$2:$C$23,INDUSTRYGROUP!$D$2:$D$23,"NONE")</f>
        <v>Manufacturing</v>
      </c>
      <c r="E140" t="str">
        <f>_xlfn.XLOOKUP(LEFT(A140,2),SECTOR!$A$2:$A$88,SECTOR!$A$2:$A$88,"")</f>
        <v/>
      </c>
      <c r="F140" t="str">
        <f>_xlfn.XLOOKUP(LEFT(A140,2),SECTOR!$A$2:$A$88,SECTOR!$B$2:$B$88,"")</f>
        <v/>
      </c>
      <c r="G140" t="str">
        <f>_xlfn.XLOOKUP(LEFT(A140,3),INDUSTRY!$A$2:$A$259,INDUSTRY!$A$2:$A$259,"")</f>
        <v>142</v>
      </c>
      <c r="H140" t="str">
        <f>_xlfn.XLOOKUP(LEFT(A140,3),INDUSTRY!$A$2:$A$259,INDUSTRY!$B$2:$B$259,"")</f>
        <v>Manufacture of articles of fur</v>
      </c>
      <c r="I140" t="str">
        <f t="shared" si="4"/>
        <v>1420</v>
      </c>
      <c r="J140" t="str">
        <f t="shared" si="5"/>
        <v>Manufacture of articles of fur</v>
      </c>
    </row>
    <row r="141" spans="1:10" x14ac:dyDescent="0.25">
      <c r="A141" t="s">
        <v>1103</v>
      </c>
      <c r="B141" t="s">
        <v>1104</v>
      </c>
      <c r="C141" t="s">
        <v>1012</v>
      </c>
      <c r="D141" t="str">
        <f>_xlfn.XLOOKUP(ISIC_Rev_5_english_structure__1[[#This Row],[Column4]],INDUSTRYGROUP!$C$2:$C$23,INDUSTRYGROUP!$D$2:$D$23,"NONE")</f>
        <v>Manufacturing</v>
      </c>
      <c r="E141" t="str">
        <f>_xlfn.XLOOKUP(LEFT(A141,2),SECTOR!$A$2:$A$88,SECTOR!$A$2:$A$88,"")</f>
        <v/>
      </c>
      <c r="F141" t="str">
        <f>_xlfn.XLOOKUP(LEFT(A141,2),SECTOR!$A$2:$A$88,SECTOR!$B$2:$B$88,"")</f>
        <v/>
      </c>
      <c r="G141" t="str">
        <f>_xlfn.XLOOKUP(LEFT(A141,3),INDUSTRY!$A$2:$A$259,INDUSTRY!$A$2:$A$259,"")</f>
        <v>143</v>
      </c>
      <c r="H141" t="str">
        <f>_xlfn.XLOOKUP(LEFT(A141,3),INDUSTRY!$A$2:$A$259,INDUSTRY!$B$2:$B$259,"")</f>
        <v>Manufacture of knitted and crocheted apparel</v>
      </c>
      <c r="I141" t="str">
        <f t="shared" si="4"/>
        <v/>
      </c>
      <c r="J141" t="str">
        <f t="shared" si="5"/>
        <v/>
      </c>
    </row>
    <row r="142" spans="1:10" x14ac:dyDescent="0.25">
      <c r="A142" t="s">
        <v>1105</v>
      </c>
      <c r="B142" t="s">
        <v>1104</v>
      </c>
      <c r="C142" t="s">
        <v>1012</v>
      </c>
      <c r="D142" t="str">
        <f>_xlfn.XLOOKUP(ISIC_Rev_5_english_structure__1[[#This Row],[Column4]],INDUSTRYGROUP!$C$2:$C$23,INDUSTRYGROUP!$D$2:$D$23,"NONE")</f>
        <v>Manufacturing</v>
      </c>
      <c r="E142" t="str">
        <f>_xlfn.XLOOKUP(LEFT(A142,2),SECTOR!$A$2:$A$88,SECTOR!$A$2:$A$88,"")</f>
        <v/>
      </c>
      <c r="F142" t="str">
        <f>_xlfn.XLOOKUP(LEFT(A142,2),SECTOR!$A$2:$A$88,SECTOR!$B$2:$B$88,"")</f>
        <v/>
      </c>
      <c r="G142" t="str">
        <f>_xlfn.XLOOKUP(LEFT(A142,3),INDUSTRY!$A$2:$A$259,INDUSTRY!$A$2:$A$259,"")</f>
        <v>143</v>
      </c>
      <c r="H142" t="str">
        <f>_xlfn.XLOOKUP(LEFT(A142,3),INDUSTRY!$A$2:$A$259,INDUSTRY!$B$2:$B$259,"")</f>
        <v>Manufacture of knitted and crocheted apparel</v>
      </c>
      <c r="I142" t="str">
        <f t="shared" si="4"/>
        <v>1430</v>
      </c>
      <c r="J142" t="str">
        <f t="shared" si="5"/>
        <v>Manufacture of knitted and crocheted apparel</v>
      </c>
    </row>
    <row r="143" spans="1:10" x14ac:dyDescent="0.25">
      <c r="A143" t="s">
        <v>1106</v>
      </c>
      <c r="B143" t="s">
        <v>1107</v>
      </c>
      <c r="C143" t="s">
        <v>1012</v>
      </c>
      <c r="D143" t="str">
        <f>_xlfn.XLOOKUP(ISIC_Rev_5_english_structure__1[[#This Row],[Column4]],INDUSTRYGROUP!$C$2:$C$23,INDUSTRYGROUP!$D$2:$D$23,"NONE")</f>
        <v>Manufacturing</v>
      </c>
      <c r="E143" t="str">
        <f>_xlfn.XLOOKUP(LEFT(A143,2),SECTOR!$A$2:$A$88,SECTOR!$A$2:$A$88,"")</f>
        <v/>
      </c>
      <c r="F143" t="str">
        <f>_xlfn.XLOOKUP(LEFT(A143,2),SECTOR!$A$2:$A$88,SECTOR!$B$2:$B$88,"")</f>
        <v/>
      </c>
      <c r="G143" t="str">
        <f>_xlfn.XLOOKUP(LEFT(A143,3),INDUSTRY!$A$2:$A$259,INDUSTRY!$A$2:$A$259,"")</f>
        <v/>
      </c>
      <c r="H143" t="str">
        <f>_xlfn.XLOOKUP(LEFT(A143,3),INDUSTRY!$A$2:$A$259,INDUSTRY!$B$2:$B$259,"")</f>
        <v/>
      </c>
      <c r="I143" t="str">
        <f t="shared" si="4"/>
        <v/>
      </c>
      <c r="J143" t="str">
        <f t="shared" si="5"/>
        <v/>
      </c>
    </row>
    <row r="144" spans="1:10" x14ac:dyDescent="0.25">
      <c r="A144" t="s">
        <v>1108</v>
      </c>
      <c r="B144" t="s">
        <v>1109</v>
      </c>
      <c r="C144" t="s">
        <v>1012</v>
      </c>
      <c r="D144" t="str">
        <f>_xlfn.XLOOKUP(ISIC_Rev_5_english_structure__1[[#This Row],[Column4]],INDUSTRYGROUP!$C$2:$C$23,INDUSTRYGROUP!$D$2:$D$23,"NONE")</f>
        <v>Manufacturing</v>
      </c>
      <c r="E144" t="str">
        <f>_xlfn.XLOOKUP(LEFT(A144,2),SECTOR!$A$2:$A$88,SECTOR!$A$2:$A$88,"")</f>
        <v/>
      </c>
      <c r="F144" t="str">
        <f>_xlfn.XLOOKUP(LEFT(A144,2),SECTOR!$A$2:$A$88,SECTOR!$B$2:$B$88,"")</f>
        <v/>
      </c>
      <c r="G144" t="str">
        <f>_xlfn.XLOOKUP(LEFT(A144,3),INDUSTRY!$A$2:$A$259,INDUSTRY!$A$2:$A$259,"")</f>
        <v>151</v>
      </c>
      <c r="H144" t="str">
        <f>_xlfn.XLOOKUP(LEFT(A144,3),INDUSTRY!$A$2:$A$259,INDUSTRY!$B$2:$B$259,"")</f>
        <v>Tanning, dyeing, dressing of leather and fur; manufacture of luggage, handbags, saddlery and harness</v>
      </c>
      <c r="I144" t="str">
        <f t="shared" si="4"/>
        <v/>
      </c>
      <c r="J144" t="str">
        <f t="shared" si="5"/>
        <v/>
      </c>
    </row>
    <row r="145" spans="1:10" x14ac:dyDescent="0.25">
      <c r="A145" t="s">
        <v>1110</v>
      </c>
      <c r="B145" t="s">
        <v>1111</v>
      </c>
      <c r="C145" t="s">
        <v>1012</v>
      </c>
      <c r="D145" t="str">
        <f>_xlfn.XLOOKUP(ISIC_Rev_5_english_structure__1[[#This Row],[Column4]],INDUSTRYGROUP!$C$2:$C$23,INDUSTRYGROUP!$D$2:$D$23,"NONE")</f>
        <v>Manufacturing</v>
      </c>
      <c r="E145" t="str">
        <f>_xlfn.XLOOKUP(LEFT(A145,2),SECTOR!$A$2:$A$88,SECTOR!$A$2:$A$88,"")</f>
        <v/>
      </c>
      <c r="F145" t="str">
        <f>_xlfn.XLOOKUP(LEFT(A145,2),SECTOR!$A$2:$A$88,SECTOR!$B$2:$B$88,"")</f>
        <v/>
      </c>
      <c r="G145" t="str">
        <f>_xlfn.XLOOKUP(LEFT(A145,3),INDUSTRY!$A$2:$A$259,INDUSTRY!$A$2:$A$259,"")</f>
        <v>151</v>
      </c>
      <c r="H145" t="str">
        <f>_xlfn.XLOOKUP(LEFT(A145,3),INDUSTRY!$A$2:$A$259,INDUSTRY!$B$2:$B$259,"")</f>
        <v>Tanning, dyeing, dressing of leather and fur; manufacture of luggage, handbags, saddlery and harness</v>
      </c>
      <c r="I145" t="str">
        <f t="shared" si="4"/>
        <v>1511</v>
      </c>
      <c r="J145" t="str">
        <f t="shared" si="5"/>
        <v>Tanning and dressing of leather; dressing and dyeing of fur</v>
      </c>
    </row>
    <row r="146" spans="1:10" x14ac:dyDescent="0.25">
      <c r="A146" t="s">
        <v>1112</v>
      </c>
      <c r="B146" t="s">
        <v>1113</v>
      </c>
      <c r="C146" t="s">
        <v>1012</v>
      </c>
      <c r="D146" t="str">
        <f>_xlfn.XLOOKUP(ISIC_Rev_5_english_structure__1[[#This Row],[Column4]],INDUSTRYGROUP!$C$2:$C$23,INDUSTRYGROUP!$D$2:$D$23,"NONE")</f>
        <v>Manufacturing</v>
      </c>
      <c r="E146" t="str">
        <f>_xlfn.XLOOKUP(LEFT(A146,2),SECTOR!$A$2:$A$88,SECTOR!$A$2:$A$88,"")</f>
        <v/>
      </c>
      <c r="F146" t="str">
        <f>_xlfn.XLOOKUP(LEFT(A146,2),SECTOR!$A$2:$A$88,SECTOR!$B$2:$B$88,"")</f>
        <v/>
      </c>
      <c r="G146" t="str">
        <f>_xlfn.XLOOKUP(LEFT(A146,3),INDUSTRY!$A$2:$A$259,INDUSTRY!$A$2:$A$259,"")</f>
        <v>151</v>
      </c>
      <c r="H146" t="str">
        <f>_xlfn.XLOOKUP(LEFT(A146,3),INDUSTRY!$A$2:$A$259,INDUSTRY!$B$2:$B$259,"")</f>
        <v>Tanning, dyeing, dressing of leather and fur; manufacture of luggage, handbags, saddlery and harness</v>
      </c>
      <c r="I146" t="str">
        <f t="shared" si="4"/>
        <v>1512</v>
      </c>
      <c r="J146" t="str">
        <f t="shared" si="5"/>
        <v>Manufacture of luggage, handbags and the like, saddlery and harness of any material</v>
      </c>
    </row>
    <row r="147" spans="1:10" x14ac:dyDescent="0.25">
      <c r="A147" t="s">
        <v>1114</v>
      </c>
      <c r="B147" t="s">
        <v>1115</v>
      </c>
      <c r="C147" t="s">
        <v>1012</v>
      </c>
      <c r="D147" t="str">
        <f>_xlfn.XLOOKUP(ISIC_Rev_5_english_structure__1[[#This Row],[Column4]],INDUSTRYGROUP!$C$2:$C$23,INDUSTRYGROUP!$D$2:$D$23,"NONE")</f>
        <v>Manufacturing</v>
      </c>
      <c r="E147" t="str">
        <f>_xlfn.XLOOKUP(LEFT(A147,2),SECTOR!$A$2:$A$88,SECTOR!$A$2:$A$88,"")</f>
        <v/>
      </c>
      <c r="F147" t="str">
        <f>_xlfn.XLOOKUP(LEFT(A147,2),SECTOR!$A$2:$A$88,SECTOR!$B$2:$B$88,"")</f>
        <v/>
      </c>
      <c r="G147" t="str">
        <f>_xlfn.XLOOKUP(LEFT(A147,3),INDUSTRY!$A$2:$A$259,INDUSTRY!$A$2:$A$259,"")</f>
        <v>152</v>
      </c>
      <c r="H147" t="str">
        <f>_xlfn.XLOOKUP(LEFT(A147,3),INDUSTRY!$A$2:$A$259,INDUSTRY!$B$2:$B$259,"")</f>
        <v>Manufacture of footwear</v>
      </c>
      <c r="I147" t="str">
        <f t="shared" si="4"/>
        <v/>
      </c>
      <c r="J147" t="str">
        <f t="shared" si="5"/>
        <v/>
      </c>
    </row>
    <row r="148" spans="1:10" x14ac:dyDescent="0.25">
      <c r="A148" t="s">
        <v>1116</v>
      </c>
      <c r="B148" t="s">
        <v>1115</v>
      </c>
      <c r="C148" t="s">
        <v>1012</v>
      </c>
      <c r="D148" t="str">
        <f>_xlfn.XLOOKUP(ISIC_Rev_5_english_structure__1[[#This Row],[Column4]],INDUSTRYGROUP!$C$2:$C$23,INDUSTRYGROUP!$D$2:$D$23,"NONE")</f>
        <v>Manufacturing</v>
      </c>
      <c r="E148" t="str">
        <f>_xlfn.XLOOKUP(LEFT(A148,2),SECTOR!$A$2:$A$88,SECTOR!$A$2:$A$88,"")</f>
        <v/>
      </c>
      <c r="F148" t="str">
        <f>_xlfn.XLOOKUP(LEFT(A148,2),SECTOR!$A$2:$A$88,SECTOR!$B$2:$B$88,"")</f>
        <v/>
      </c>
      <c r="G148" t="str">
        <f>_xlfn.XLOOKUP(LEFT(A148,3),INDUSTRY!$A$2:$A$259,INDUSTRY!$A$2:$A$259,"")</f>
        <v>152</v>
      </c>
      <c r="H148" t="str">
        <f>_xlfn.XLOOKUP(LEFT(A148,3),INDUSTRY!$A$2:$A$259,INDUSTRY!$B$2:$B$259,"")</f>
        <v>Manufacture of footwear</v>
      </c>
      <c r="I148" t="str">
        <f t="shared" si="4"/>
        <v>1520</v>
      </c>
      <c r="J148" t="str">
        <f t="shared" si="5"/>
        <v>Manufacture of footwear</v>
      </c>
    </row>
    <row r="149" spans="1:10" x14ac:dyDescent="0.25">
      <c r="A149" t="s">
        <v>1117</v>
      </c>
      <c r="B149" t="s">
        <v>1118</v>
      </c>
      <c r="C149" t="s">
        <v>1012</v>
      </c>
      <c r="D149" t="str">
        <f>_xlfn.XLOOKUP(ISIC_Rev_5_english_structure__1[[#This Row],[Column4]],INDUSTRYGROUP!$C$2:$C$23,INDUSTRYGROUP!$D$2:$D$23,"NONE")</f>
        <v>Manufacturing</v>
      </c>
      <c r="E149" t="str">
        <f>_xlfn.XLOOKUP(LEFT(A149,2),SECTOR!$A$2:$A$88,SECTOR!$A$2:$A$88,"")</f>
        <v/>
      </c>
      <c r="F149" t="str">
        <f>_xlfn.XLOOKUP(LEFT(A149,2),SECTOR!$A$2:$A$88,SECTOR!$B$2:$B$88,"")</f>
        <v/>
      </c>
      <c r="G149" t="str">
        <f>_xlfn.XLOOKUP(LEFT(A149,3),INDUSTRY!$A$2:$A$259,INDUSTRY!$A$2:$A$259,"")</f>
        <v/>
      </c>
      <c r="H149" t="str">
        <f>_xlfn.XLOOKUP(LEFT(A149,3),INDUSTRY!$A$2:$A$259,INDUSTRY!$B$2:$B$259,"")</f>
        <v/>
      </c>
      <c r="I149" t="str">
        <f t="shared" si="4"/>
        <v/>
      </c>
      <c r="J149" t="str">
        <f t="shared" si="5"/>
        <v/>
      </c>
    </row>
    <row r="150" spans="1:10" x14ac:dyDescent="0.25">
      <c r="A150" t="s">
        <v>1119</v>
      </c>
      <c r="B150" t="s">
        <v>1120</v>
      </c>
      <c r="C150" t="s">
        <v>1012</v>
      </c>
      <c r="D150" t="str">
        <f>_xlfn.XLOOKUP(ISIC_Rev_5_english_structure__1[[#This Row],[Column4]],INDUSTRYGROUP!$C$2:$C$23,INDUSTRYGROUP!$D$2:$D$23,"NONE")</f>
        <v>Manufacturing</v>
      </c>
      <c r="E150" t="str">
        <f>_xlfn.XLOOKUP(LEFT(A150,2),SECTOR!$A$2:$A$88,SECTOR!$A$2:$A$88,"")</f>
        <v/>
      </c>
      <c r="F150" t="str">
        <f>_xlfn.XLOOKUP(LEFT(A150,2),SECTOR!$A$2:$A$88,SECTOR!$B$2:$B$88,"")</f>
        <v/>
      </c>
      <c r="G150" t="str">
        <f>_xlfn.XLOOKUP(LEFT(A150,3),INDUSTRY!$A$2:$A$259,INDUSTRY!$A$2:$A$259,"")</f>
        <v>161</v>
      </c>
      <c r="H150" t="str">
        <f>_xlfn.XLOOKUP(LEFT(A150,3),INDUSTRY!$A$2:$A$259,INDUSTRY!$B$2:$B$259,"")</f>
        <v>Sawmilling and planing of wood</v>
      </c>
      <c r="I150" t="str">
        <f t="shared" si="4"/>
        <v/>
      </c>
      <c r="J150" t="str">
        <f t="shared" si="5"/>
        <v/>
      </c>
    </row>
    <row r="151" spans="1:10" x14ac:dyDescent="0.25">
      <c r="A151" t="s">
        <v>1121</v>
      </c>
      <c r="B151" t="s">
        <v>1120</v>
      </c>
      <c r="C151" t="s">
        <v>1012</v>
      </c>
      <c r="D151" t="str">
        <f>_xlfn.XLOOKUP(ISIC_Rev_5_english_structure__1[[#This Row],[Column4]],INDUSTRYGROUP!$C$2:$C$23,INDUSTRYGROUP!$D$2:$D$23,"NONE")</f>
        <v>Manufacturing</v>
      </c>
      <c r="E151" t="str">
        <f>_xlfn.XLOOKUP(LEFT(A151,2),SECTOR!$A$2:$A$88,SECTOR!$A$2:$A$88,"")</f>
        <v/>
      </c>
      <c r="F151" t="str">
        <f>_xlfn.XLOOKUP(LEFT(A151,2),SECTOR!$A$2:$A$88,SECTOR!$B$2:$B$88,"")</f>
        <v/>
      </c>
      <c r="G151" t="str">
        <f>_xlfn.XLOOKUP(LEFT(A151,3),INDUSTRY!$A$2:$A$259,INDUSTRY!$A$2:$A$259,"")</f>
        <v>161</v>
      </c>
      <c r="H151" t="str">
        <f>_xlfn.XLOOKUP(LEFT(A151,3),INDUSTRY!$A$2:$A$259,INDUSTRY!$B$2:$B$259,"")</f>
        <v>Sawmilling and planing of wood</v>
      </c>
      <c r="I151" t="str">
        <f t="shared" si="4"/>
        <v>1610</v>
      </c>
      <c r="J151" t="str">
        <f t="shared" si="5"/>
        <v>Sawmilling and planing of wood</v>
      </c>
    </row>
    <row r="152" spans="1:10" x14ac:dyDescent="0.25">
      <c r="A152" t="s">
        <v>1122</v>
      </c>
      <c r="B152" t="s">
        <v>1123</v>
      </c>
      <c r="C152" t="s">
        <v>1012</v>
      </c>
      <c r="D152" t="str">
        <f>_xlfn.XLOOKUP(ISIC_Rev_5_english_structure__1[[#This Row],[Column4]],INDUSTRYGROUP!$C$2:$C$23,INDUSTRYGROUP!$D$2:$D$23,"NONE")</f>
        <v>Manufacturing</v>
      </c>
      <c r="E152" t="str">
        <f>_xlfn.XLOOKUP(LEFT(A152,2),SECTOR!$A$2:$A$88,SECTOR!$A$2:$A$88,"")</f>
        <v/>
      </c>
      <c r="F152" t="str">
        <f>_xlfn.XLOOKUP(LEFT(A152,2),SECTOR!$A$2:$A$88,SECTOR!$B$2:$B$88,"")</f>
        <v/>
      </c>
      <c r="G152" t="str">
        <f>_xlfn.XLOOKUP(LEFT(A152,3),INDUSTRY!$A$2:$A$259,INDUSTRY!$A$2:$A$259,"")</f>
        <v>162</v>
      </c>
      <c r="H152" t="str">
        <f>_xlfn.XLOOKUP(LEFT(A152,3),INDUSTRY!$A$2:$A$259,INDUSTRY!$B$2:$B$259,"")</f>
        <v>Manufacture of products of wood, cork, straw and plaiting materials</v>
      </c>
      <c r="I152" t="str">
        <f t="shared" si="4"/>
        <v/>
      </c>
      <c r="J152" t="str">
        <f t="shared" si="5"/>
        <v/>
      </c>
    </row>
    <row r="153" spans="1:10" x14ac:dyDescent="0.25">
      <c r="A153" t="s">
        <v>1124</v>
      </c>
      <c r="B153" t="s">
        <v>1125</v>
      </c>
      <c r="C153" t="s">
        <v>1012</v>
      </c>
      <c r="D153" t="str">
        <f>_xlfn.XLOOKUP(ISIC_Rev_5_english_structure__1[[#This Row],[Column4]],INDUSTRYGROUP!$C$2:$C$23,INDUSTRYGROUP!$D$2:$D$23,"NONE")</f>
        <v>Manufacturing</v>
      </c>
      <c r="E153" t="str">
        <f>_xlfn.XLOOKUP(LEFT(A153,2),SECTOR!$A$2:$A$88,SECTOR!$A$2:$A$88,"")</f>
        <v/>
      </c>
      <c r="F153" t="str">
        <f>_xlfn.XLOOKUP(LEFT(A153,2),SECTOR!$A$2:$A$88,SECTOR!$B$2:$B$88,"")</f>
        <v/>
      </c>
      <c r="G153" t="str">
        <f>_xlfn.XLOOKUP(LEFT(A153,3),INDUSTRY!$A$2:$A$259,INDUSTRY!$A$2:$A$259,"")</f>
        <v>162</v>
      </c>
      <c r="H153" t="str">
        <f>_xlfn.XLOOKUP(LEFT(A153,3),INDUSTRY!$A$2:$A$259,INDUSTRY!$B$2:$B$259,"")</f>
        <v>Manufacture of products of wood, cork, straw and plaiting materials</v>
      </c>
      <c r="I153" t="str">
        <f t="shared" si="4"/>
        <v>1621</v>
      </c>
      <c r="J153" t="str">
        <f t="shared" si="5"/>
        <v>Manufacture of veneer sheets and wood-based panels</v>
      </c>
    </row>
    <row r="154" spans="1:10" x14ac:dyDescent="0.25">
      <c r="A154" t="s">
        <v>1126</v>
      </c>
      <c r="B154" t="s">
        <v>1127</v>
      </c>
      <c r="C154" t="s">
        <v>1012</v>
      </c>
      <c r="D154" t="str">
        <f>_xlfn.XLOOKUP(ISIC_Rev_5_english_structure__1[[#This Row],[Column4]],INDUSTRYGROUP!$C$2:$C$23,INDUSTRYGROUP!$D$2:$D$23,"NONE")</f>
        <v>Manufacturing</v>
      </c>
      <c r="E154" t="str">
        <f>_xlfn.XLOOKUP(LEFT(A154,2),SECTOR!$A$2:$A$88,SECTOR!$A$2:$A$88,"")</f>
        <v/>
      </c>
      <c r="F154" t="str">
        <f>_xlfn.XLOOKUP(LEFT(A154,2),SECTOR!$A$2:$A$88,SECTOR!$B$2:$B$88,"")</f>
        <v/>
      </c>
      <c r="G154" t="str">
        <f>_xlfn.XLOOKUP(LEFT(A154,3),INDUSTRY!$A$2:$A$259,INDUSTRY!$A$2:$A$259,"")</f>
        <v>162</v>
      </c>
      <c r="H154" t="str">
        <f>_xlfn.XLOOKUP(LEFT(A154,3),INDUSTRY!$A$2:$A$259,INDUSTRY!$B$2:$B$259,"")</f>
        <v>Manufacture of products of wood, cork, straw and plaiting materials</v>
      </c>
      <c r="I154" t="str">
        <f t="shared" si="4"/>
        <v>1622</v>
      </c>
      <c r="J154" t="str">
        <f t="shared" si="5"/>
        <v>Manufacture of builders' carpentry and joinery</v>
      </c>
    </row>
    <row r="155" spans="1:10" x14ac:dyDescent="0.25">
      <c r="A155" t="s">
        <v>1128</v>
      </c>
      <c r="B155" t="s">
        <v>1129</v>
      </c>
      <c r="C155" t="s">
        <v>1012</v>
      </c>
      <c r="D155" t="str">
        <f>_xlfn.XLOOKUP(ISIC_Rev_5_english_structure__1[[#This Row],[Column4]],INDUSTRYGROUP!$C$2:$C$23,INDUSTRYGROUP!$D$2:$D$23,"NONE")</f>
        <v>Manufacturing</v>
      </c>
      <c r="E155" t="str">
        <f>_xlfn.XLOOKUP(LEFT(A155,2),SECTOR!$A$2:$A$88,SECTOR!$A$2:$A$88,"")</f>
        <v/>
      </c>
      <c r="F155" t="str">
        <f>_xlfn.XLOOKUP(LEFT(A155,2),SECTOR!$A$2:$A$88,SECTOR!$B$2:$B$88,"")</f>
        <v/>
      </c>
      <c r="G155" t="str">
        <f>_xlfn.XLOOKUP(LEFT(A155,3),INDUSTRY!$A$2:$A$259,INDUSTRY!$A$2:$A$259,"")</f>
        <v>162</v>
      </c>
      <c r="H155" t="str">
        <f>_xlfn.XLOOKUP(LEFT(A155,3),INDUSTRY!$A$2:$A$259,INDUSTRY!$B$2:$B$259,"")</f>
        <v>Manufacture of products of wood, cork, straw and plaiting materials</v>
      </c>
      <c r="I155" t="str">
        <f t="shared" si="4"/>
        <v>1623</v>
      </c>
      <c r="J155" t="str">
        <f t="shared" si="5"/>
        <v>Manufacture of wooden containers</v>
      </c>
    </row>
    <row r="156" spans="1:10" x14ac:dyDescent="0.25">
      <c r="A156" t="s">
        <v>1130</v>
      </c>
      <c r="B156" t="s">
        <v>1131</v>
      </c>
      <c r="C156" t="s">
        <v>1012</v>
      </c>
      <c r="D156" t="str">
        <f>_xlfn.XLOOKUP(ISIC_Rev_5_english_structure__1[[#This Row],[Column4]],INDUSTRYGROUP!$C$2:$C$23,INDUSTRYGROUP!$D$2:$D$23,"NONE")</f>
        <v>Manufacturing</v>
      </c>
      <c r="E156" t="str">
        <f>_xlfn.XLOOKUP(LEFT(A156,2),SECTOR!$A$2:$A$88,SECTOR!$A$2:$A$88,"")</f>
        <v/>
      </c>
      <c r="F156" t="str">
        <f>_xlfn.XLOOKUP(LEFT(A156,2),SECTOR!$A$2:$A$88,SECTOR!$B$2:$B$88,"")</f>
        <v/>
      </c>
      <c r="G156" t="str">
        <f>_xlfn.XLOOKUP(LEFT(A156,3),INDUSTRY!$A$2:$A$259,INDUSTRY!$A$2:$A$259,"")</f>
        <v>162</v>
      </c>
      <c r="H156" t="str">
        <f>_xlfn.XLOOKUP(LEFT(A156,3),INDUSTRY!$A$2:$A$259,INDUSTRY!$B$2:$B$259,"")</f>
        <v>Manufacture of products of wood, cork, straw and plaiting materials</v>
      </c>
      <c r="I156" t="str">
        <f t="shared" si="4"/>
        <v>1629</v>
      </c>
      <c r="J156" t="str">
        <f t="shared" si="5"/>
        <v>Manufacture of other products of wood; manufacture of articles of cork, straw and plaiting materials</v>
      </c>
    </row>
    <row r="157" spans="1:10" x14ac:dyDescent="0.25">
      <c r="A157" t="s">
        <v>1132</v>
      </c>
      <c r="B157" t="s">
        <v>1133</v>
      </c>
      <c r="C157" t="s">
        <v>1012</v>
      </c>
      <c r="D157" t="str">
        <f>_xlfn.XLOOKUP(ISIC_Rev_5_english_structure__1[[#This Row],[Column4]],INDUSTRYGROUP!$C$2:$C$23,INDUSTRYGROUP!$D$2:$D$23,"NONE")</f>
        <v>Manufacturing</v>
      </c>
      <c r="E157" t="str">
        <f>_xlfn.XLOOKUP(LEFT(A157,2),SECTOR!$A$2:$A$88,SECTOR!$A$2:$A$88,"")</f>
        <v/>
      </c>
      <c r="F157" t="str">
        <f>_xlfn.XLOOKUP(LEFT(A157,2),SECTOR!$A$2:$A$88,SECTOR!$B$2:$B$88,"")</f>
        <v/>
      </c>
      <c r="G157" t="str">
        <f>_xlfn.XLOOKUP(LEFT(A157,3),INDUSTRY!$A$2:$A$259,INDUSTRY!$A$2:$A$259,"")</f>
        <v/>
      </c>
      <c r="H157" t="str">
        <f>_xlfn.XLOOKUP(LEFT(A157,3),INDUSTRY!$A$2:$A$259,INDUSTRY!$B$2:$B$259,"")</f>
        <v/>
      </c>
      <c r="I157" t="str">
        <f t="shared" si="4"/>
        <v/>
      </c>
      <c r="J157" t="str">
        <f t="shared" si="5"/>
        <v/>
      </c>
    </row>
    <row r="158" spans="1:10" x14ac:dyDescent="0.25">
      <c r="A158" t="s">
        <v>1134</v>
      </c>
      <c r="B158" t="s">
        <v>1133</v>
      </c>
      <c r="C158" t="s">
        <v>1012</v>
      </c>
      <c r="D158" t="str">
        <f>_xlfn.XLOOKUP(ISIC_Rev_5_english_structure__1[[#This Row],[Column4]],INDUSTRYGROUP!$C$2:$C$23,INDUSTRYGROUP!$D$2:$D$23,"NONE")</f>
        <v>Manufacturing</v>
      </c>
      <c r="E158" t="str">
        <f>_xlfn.XLOOKUP(LEFT(A158,2),SECTOR!$A$2:$A$88,SECTOR!$A$2:$A$88,"")</f>
        <v/>
      </c>
      <c r="F158" t="str">
        <f>_xlfn.XLOOKUP(LEFT(A158,2),SECTOR!$A$2:$A$88,SECTOR!$B$2:$B$88,"")</f>
        <v/>
      </c>
      <c r="G158" t="str">
        <f>_xlfn.XLOOKUP(LEFT(A158,3),INDUSTRY!$A$2:$A$259,INDUSTRY!$A$2:$A$259,"")</f>
        <v>170</v>
      </c>
      <c r="H158" t="str">
        <f>_xlfn.XLOOKUP(LEFT(A158,3),INDUSTRY!$A$2:$A$259,INDUSTRY!$B$2:$B$259,"")</f>
        <v>Manufacture of paper and paper products</v>
      </c>
      <c r="I158" t="str">
        <f t="shared" si="4"/>
        <v/>
      </c>
      <c r="J158" t="str">
        <f t="shared" si="5"/>
        <v/>
      </c>
    </row>
    <row r="159" spans="1:10" x14ac:dyDescent="0.25">
      <c r="A159" t="s">
        <v>1135</v>
      </c>
      <c r="B159" t="s">
        <v>1136</v>
      </c>
      <c r="C159" t="s">
        <v>1012</v>
      </c>
      <c r="D159" t="str">
        <f>_xlfn.XLOOKUP(ISIC_Rev_5_english_structure__1[[#This Row],[Column4]],INDUSTRYGROUP!$C$2:$C$23,INDUSTRYGROUP!$D$2:$D$23,"NONE")</f>
        <v>Manufacturing</v>
      </c>
      <c r="E159" t="str">
        <f>_xlfn.XLOOKUP(LEFT(A159,2),SECTOR!$A$2:$A$88,SECTOR!$A$2:$A$88,"")</f>
        <v/>
      </c>
      <c r="F159" t="str">
        <f>_xlfn.XLOOKUP(LEFT(A159,2),SECTOR!$A$2:$A$88,SECTOR!$B$2:$B$88,"")</f>
        <v/>
      </c>
      <c r="G159" t="str">
        <f>_xlfn.XLOOKUP(LEFT(A159,3),INDUSTRY!$A$2:$A$259,INDUSTRY!$A$2:$A$259,"")</f>
        <v>170</v>
      </c>
      <c r="H159" t="str">
        <f>_xlfn.XLOOKUP(LEFT(A159,3),INDUSTRY!$A$2:$A$259,INDUSTRY!$B$2:$B$259,"")</f>
        <v>Manufacture of paper and paper products</v>
      </c>
      <c r="I159" t="str">
        <f t="shared" si="4"/>
        <v>1701</v>
      </c>
      <c r="J159" t="str">
        <f t="shared" si="5"/>
        <v>Manufacture of pulp, paper and paperboard</v>
      </c>
    </row>
    <row r="160" spans="1:10" x14ac:dyDescent="0.25">
      <c r="A160" t="s">
        <v>1137</v>
      </c>
      <c r="B160" t="s">
        <v>1138</v>
      </c>
      <c r="C160" t="s">
        <v>1012</v>
      </c>
      <c r="D160" t="str">
        <f>_xlfn.XLOOKUP(ISIC_Rev_5_english_structure__1[[#This Row],[Column4]],INDUSTRYGROUP!$C$2:$C$23,INDUSTRYGROUP!$D$2:$D$23,"NONE")</f>
        <v>Manufacturing</v>
      </c>
      <c r="E160" t="str">
        <f>_xlfn.XLOOKUP(LEFT(A160,2),SECTOR!$A$2:$A$88,SECTOR!$A$2:$A$88,"")</f>
        <v/>
      </c>
      <c r="F160" t="str">
        <f>_xlfn.XLOOKUP(LEFT(A160,2),SECTOR!$A$2:$A$88,SECTOR!$B$2:$B$88,"")</f>
        <v/>
      </c>
      <c r="G160" t="str">
        <f>_xlfn.XLOOKUP(LEFT(A160,3),INDUSTRY!$A$2:$A$259,INDUSTRY!$A$2:$A$259,"")</f>
        <v>170</v>
      </c>
      <c r="H160" t="str">
        <f>_xlfn.XLOOKUP(LEFT(A160,3),INDUSTRY!$A$2:$A$259,INDUSTRY!$B$2:$B$259,"")</f>
        <v>Manufacture of paper and paper products</v>
      </c>
      <c r="I160" t="str">
        <f t="shared" si="4"/>
        <v>1702</v>
      </c>
      <c r="J160" t="str">
        <f t="shared" si="5"/>
        <v>Manufacture of corrugated paper and paperboard and of containers of paper and paperboard</v>
      </c>
    </row>
    <row r="161" spans="1:10" x14ac:dyDescent="0.25">
      <c r="A161" t="s">
        <v>1139</v>
      </c>
      <c r="B161" t="s">
        <v>1140</v>
      </c>
      <c r="C161" t="s">
        <v>1012</v>
      </c>
      <c r="D161" t="str">
        <f>_xlfn.XLOOKUP(ISIC_Rev_5_english_structure__1[[#This Row],[Column4]],INDUSTRYGROUP!$C$2:$C$23,INDUSTRYGROUP!$D$2:$D$23,"NONE")</f>
        <v>Manufacturing</v>
      </c>
      <c r="E161" t="str">
        <f>_xlfn.XLOOKUP(LEFT(A161,2),SECTOR!$A$2:$A$88,SECTOR!$A$2:$A$88,"")</f>
        <v/>
      </c>
      <c r="F161" t="str">
        <f>_xlfn.XLOOKUP(LEFT(A161,2),SECTOR!$A$2:$A$88,SECTOR!$B$2:$B$88,"")</f>
        <v/>
      </c>
      <c r="G161" t="str">
        <f>_xlfn.XLOOKUP(LEFT(A161,3),INDUSTRY!$A$2:$A$259,INDUSTRY!$A$2:$A$259,"")</f>
        <v>170</v>
      </c>
      <c r="H161" t="str">
        <f>_xlfn.XLOOKUP(LEFT(A161,3),INDUSTRY!$A$2:$A$259,INDUSTRY!$B$2:$B$259,"")</f>
        <v>Manufacture of paper and paper products</v>
      </c>
      <c r="I161" t="str">
        <f t="shared" si="4"/>
        <v>1709</v>
      </c>
      <c r="J161" t="str">
        <f t="shared" si="5"/>
        <v>Manufacture of other articles of paper and paperboard</v>
      </c>
    </row>
    <row r="162" spans="1:10" x14ac:dyDescent="0.25">
      <c r="A162" t="s">
        <v>1141</v>
      </c>
      <c r="B162" t="s">
        <v>1142</v>
      </c>
      <c r="C162" t="s">
        <v>1012</v>
      </c>
      <c r="D162" t="str">
        <f>_xlfn.XLOOKUP(ISIC_Rev_5_english_structure__1[[#This Row],[Column4]],INDUSTRYGROUP!$C$2:$C$23,INDUSTRYGROUP!$D$2:$D$23,"NONE")</f>
        <v>Manufacturing</v>
      </c>
      <c r="E162" t="str">
        <f>_xlfn.XLOOKUP(LEFT(A162,2),SECTOR!$A$2:$A$88,SECTOR!$A$2:$A$88,"")</f>
        <v/>
      </c>
      <c r="F162" t="str">
        <f>_xlfn.XLOOKUP(LEFT(A162,2),SECTOR!$A$2:$A$88,SECTOR!$B$2:$B$88,"")</f>
        <v/>
      </c>
      <c r="G162" t="str">
        <f>_xlfn.XLOOKUP(LEFT(A162,3),INDUSTRY!$A$2:$A$259,INDUSTRY!$A$2:$A$259,"")</f>
        <v/>
      </c>
      <c r="H162" t="str">
        <f>_xlfn.XLOOKUP(LEFT(A162,3),INDUSTRY!$A$2:$A$259,INDUSTRY!$B$2:$B$259,"")</f>
        <v/>
      </c>
      <c r="I162" t="str">
        <f t="shared" si="4"/>
        <v/>
      </c>
      <c r="J162" t="str">
        <f t="shared" si="5"/>
        <v/>
      </c>
    </row>
    <row r="163" spans="1:10" x14ac:dyDescent="0.25">
      <c r="A163" t="s">
        <v>1143</v>
      </c>
      <c r="B163" t="s">
        <v>1144</v>
      </c>
      <c r="C163" t="s">
        <v>1012</v>
      </c>
      <c r="D163" t="str">
        <f>_xlfn.XLOOKUP(ISIC_Rev_5_english_structure__1[[#This Row],[Column4]],INDUSTRYGROUP!$C$2:$C$23,INDUSTRYGROUP!$D$2:$D$23,"NONE")</f>
        <v>Manufacturing</v>
      </c>
      <c r="E163" t="str">
        <f>_xlfn.XLOOKUP(LEFT(A163,2),SECTOR!$A$2:$A$88,SECTOR!$A$2:$A$88,"")</f>
        <v/>
      </c>
      <c r="F163" t="str">
        <f>_xlfn.XLOOKUP(LEFT(A163,2),SECTOR!$A$2:$A$88,SECTOR!$B$2:$B$88,"")</f>
        <v/>
      </c>
      <c r="G163" t="str">
        <f>_xlfn.XLOOKUP(LEFT(A163,3),INDUSTRY!$A$2:$A$259,INDUSTRY!$A$2:$A$259,"")</f>
        <v>181</v>
      </c>
      <c r="H163" t="str">
        <f>_xlfn.XLOOKUP(LEFT(A163,3),INDUSTRY!$A$2:$A$259,INDUSTRY!$B$2:$B$259,"")</f>
        <v>Printing and service activities related to printing</v>
      </c>
      <c r="I163" t="str">
        <f t="shared" si="4"/>
        <v/>
      </c>
      <c r="J163" t="str">
        <f t="shared" si="5"/>
        <v/>
      </c>
    </row>
    <row r="164" spans="1:10" x14ac:dyDescent="0.25">
      <c r="A164" t="s">
        <v>1145</v>
      </c>
      <c r="B164" t="s">
        <v>1146</v>
      </c>
      <c r="C164" t="s">
        <v>1012</v>
      </c>
      <c r="D164" t="str">
        <f>_xlfn.XLOOKUP(ISIC_Rev_5_english_structure__1[[#This Row],[Column4]],INDUSTRYGROUP!$C$2:$C$23,INDUSTRYGROUP!$D$2:$D$23,"NONE")</f>
        <v>Manufacturing</v>
      </c>
      <c r="E164" t="str">
        <f>_xlfn.XLOOKUP(LEFT(A164,2),SECTOR!$A$2:$A$88,SECTOR!$A$2:$A$88,"")</f>
        <v/>
      </c>
      <c r="F164" t="str">
        <f>_xlfn.XLOOKUP(LEFT(A164,2),SECTOR!$A$2:$A$88,SECTOR!$B$2:$B$88,"")</f>
        <v/>
      </c>
      <c r="G164" t="str">
        <f>_xlfn.XLOOKUP(LEFT(A164,3),INDUSTRY!$A$2:$A$259,INDUSTRY!$A$2:$A$259,"")</f>
        <v>181</v>
      </c>
      <c r="H164" t="str">
        <f>_xlfn.XLOOKUP(LEFT(A164,3),INDUSTRY!$A$2:$A$259,INDUSTRY!$B$2:$B$259,"")</f>
        <v>Printing and service activities related to printing</v>
      </c>
      <c r="I164" t="str">
        <f t="shared" si="4"/>
        <v>1811</v>
      </c>
      <c r="J164" t="str">
        <f t="shared" si="5"/>
        <v>Printing</v>
      </c>
    </row>
    <row r="165" spans="1:10" x14ac:dyDescent="0.25">
      <c r="A165" t="s">
        <v>1147</v>
      </c>
      <c r="B165" t="s">
        <v>1148</v>
      </c>
      <c r="C165" t="s">
        <v>1012</v>
      </c>
      <c r="D165" t="str">
        <f>_xlfn.XLOOKUP(ISIC_Rev_5_english_structure__1[[#This Row],[Column4]],INDUSTRYGROUP!$C$2:$C$23,INDUSTRYGROUP!$D$2:$D$23,"NONE")</f>
        <v>Manufacturing</v>
      </c>
      <c r="E165" t="str">
        <f>_xlfn.XLOOKUP(LEFT(A165,2),SECTOR!$A$2:$A$88,SECTOR!$A$2:$A$88,"")</f>
        <v/>
      </c>
      <c r="F165" t="str">
        <f>_xlfn.XLOOKUP(LEFT(A165,2),SECTOR!$A$2:$A$88,SECTOR!$B$2:$B$88,"")</f>
        <v/>
      </c>
      <c r="G165" t="str">
        <f>_xlfn.XLOOKUP(LEFT(A165,3),INDUSTRY!$A$2:$A$259,INDUSTRY!$A$2:$A$259,"")</f>
        <v>181</v>
      </c>
      <c r="H165" t="str">
        <f>_xlfn.XLOOKUP(LEFT(A165,3),INDUSTRY!$A$2:$A$259,INDUSTRY!$B$2:$B$259,"")</f>
        <v>Printing and service activities related to printing</v>
      </c>
      <c r="I165" t="str">
        <f t="shared" si="4"/>
        <v>1812</v>
      </c>
      <c r="J165" t="str">
        <f t="shared" si="5"/>
        <v>Service activities related to printing</v>
      </c>
    </row>
    <row r="166" spans="1:10" x14ac:dyDescent="0.25">
      <c r="A166" t="s">
        <v>1149</v>
      </c>
      <c r="B166" t="s">
        <v>1150</v>
      </c>
      <c r="C166" t="s">
        <v>1012</v>
      </c>
      <c r="D166" t="str">
        <f>_xlfn.XLOOKUP(ISIC_Rev_5_english_structure__1[[#This Row],[Column4]],INDUSTRYGROUP!$C$2:$C$23,INDUSTRYGROUP!$D$2:$D$23,"NONE")</f>
        <v>Manufacturing</v>
      </c>
      <c r="E166" t="str">
        <f>_xlfn.XLOOKUP(LEFT(A166,2),SECTOR!$A$2:$A$88,SECTOR!$A$2:$A$88,"")</f>
        <v/>
      </c>
      <c r="F166" t="str">
        <f>_xlfn.XLOOKUP(LEFT(A166,2),SECTOR!$A$2:$A$88,SECTOR!$B$2:$B$88,"")</f>
        <v/>
      </c>
      <c r="G166" t="str">
        <f>_xlfn.XLOOKUP(LEFT(A166,3),INDUSTRY!$A$2:$A$259,INDUSTRY!$A$2:$A$259,"")</f>
        <v>182</v>
      </c>
      <c r="H166" t="str">
        <f>_xlfn.XLOOKUP(LEFT(A166,3),INDUSTRY!$A$2:$A$259,INDUSTRY!$B$2:$B$259,"")</f>
        <v>Reproduction of recorded media</v>
      </c>
      <c r="I166" t="str">
        <f t="shared" si="4"/>
        <v/>
      </c>
      <c r="J166" t="str">
        <f t="shared" si="5"/>
        <v/>
      </c>
    </row>
    <row r="167" spans="1:10" x14ac:dyDescent="0.25">
      <c r="A167" t="s">
        <v>1151</v>
      </c>
      <c r="B167" t="s">
        <v>1150</v>
      </c>
      <c r="C167" t="s">
        <v>1012</v>
      </c>
      <c r="D167" t="str">
        <f>_xlfn.XLOOKUP(ISIC_Rev_5_english_structure__1[[#This Row],[Column4]],INDUSTRYGROUP!$C$2:$C$23,INDUSTRYGROUP!$D$2:$D$23,"NONE")</f>
        <v>Manufacturing</v>
      </c>
      <c r="E167" t="str">
        <f>_xlfn.XLOOKUP(LEFT(A167,2),SECTOR!$A$2:$A$88,SECTOR!$A$2:$A$88,"")</f>
        <v/>
      </c>
      <c r="F167" t="str">
        <f>_xlfn.XLOOKUP(LEFT(A167,2),SECTOR!$A$2:$A$88,SECTOR!$B$2:$B$88,"")</f>
        <v/>
      </c>
      <c r="G167" t="str">
        <f>_xlfn.XLOOKUP(LEFT(A167,3),INDUSTRY!$A$2:$A$259,INDUSTRY!$A$2:$A$259,"")</f>
        <v>182</v>
      </c>
      <c r="H167" t="str">
        <f>_xlfn.XLOOKUP(LEFT(A167,3),INDUSTRY!$A$2:$A$259,INDUSTRY!$B$2:$B$259,"")</f>
        <v>Reproduction of recorded media</v>
      </c>
      <c r="I167" t="str">
        <f t="shared" si="4"/>
        <v>1820</v>
      </c>
      <c r="J167" t="str">
        <f t="shared" si="5"/>
        <v>Reproduction of recorded media</v>
      </c>
    </row>
    <row r="168" spans="1:10" x14ac:dyDescent="0.25">
      <c r="A168" t="s">
        <v>1152</v>
      </c>
      <c r="B168" t="s">
        <v>1153</v>
      </c>
      <c r="C168" t="s">
        <v>1012</v>
      </c>
      <c r="D168" t="str">
        <f>_xlfn.XLOOKUP(ISIC_Rev_5_english_structure__1[[#This Row],[Column4]],INDUSTRYGROUP!$C$2:$C$23,INDUSTRYGROUP!$D$2:$D$23,"NONE")</f>
        <v>Manufacturing</v>
      </c>
      <c r="E168" t="str">
        <f>_xlfn.XLOOKUP(LEFT(A168,2),SECTOR!$A$2:$A$88,SECTOR!$A$2:$A$88,"")</f>
        <v/>
      </c>
      <c r="F168" t="str">
        <f>_xlfn.XLOOKUP(LEFT(A168,2),SECTOR!$A$2:$A$88,SECTOR!$B$2:$B$88,"")</f>
        <v/>
      </c>
      <c r="G168" t="str">
        <f>_xlfn.XLOOKUP(LEFT(A168,3),INDUSTRY!$A$2:$A$259,INDUSTRY!$A$2:$A$259,"")</f>
        <v/>
      </c>
      <c r="H168" t="str">
        <f>_xlfn.XLOOKUP(LEFT(A168,3),INDUSTRY!$A$2:$A$259,INDUSTRY!$B$2:$B$259,"")</f>
        <v/>
      </c>
      <c r="I168" t="str">
        <f t="shared" si="4"/>
        <v/>
      </c>
      <c r="J168" t="str">
        <f t="shared" si="5"/>
        <v/>
      </c>
    </row>
    <row r="169" spans="1:10" x14ac:dyDescent="0.25">
      <c r="A169" t="s">
        <v>1154</v>
      </c>
      <c r="B169" t="s">
        <v>1155</v>
      </c>
      <c r="C169" t="s">
        <v>1012</v>
      </c>
      <c r="D169" t="str">
        <f>_xlfn.XLOOKUP(ISIC_Rev_5_english_structure__1[[#This Row],[Column4]],INDUSTRYGROUP!$C$2:$C$23,INDUSTRYGROUP!$D$2:$D$23,"NONE")</f>
        <v>Manufacturing</v>
      </c>
      <c r="E169" t="str">
        <f>_xlfn.XLOOKUP(LEFT(A169,2),SECTOR!$A$2:$A$88,SECTOR!$A$2:$A$88,"")</f>
        <v/>
      </c>
      <c r="F169" t="str">
        <f>_xlfn.XLOOKUP(LEFT(A169,2),SECTOR!$A$2:$A$88,SECTOR!$B$2:$B$88,"")</f>
        <v/>
      </c>
      <c r="G169" t="str">
        <f>_xlfn.XLOOKUP(LEFT(A169,3),INDUSTRY!$A$2:$A$259,INDUSTRY!$A$2:$A$259,"")</f>
        <v>191</v>
      </c>
      <c r="H169" t="str">
        <f>_xlfn.XLOOKUP(LEFT(A169,3),INDUSTRY!$A$2:$A$259,INDUSTRY!$B$2:$B$259,"")</f>
        <v>Manufacture of coke oven products</v>
      </c>
      <c r="I169" t="str">
        <f t="shared" si="4"/>
        <v/>
      </c>
      <c r="J169" t="str">
        <f t="shared" si="5"/>
        <v/>
      </c>
    </row>
    <row r="170" spans="1:10" x14ac:dyDescent="0.25">
      <c r="A170" t="s">
        <v>1156</v>
      </c>
      <c r="B170" t="s">
        <v>1155</v>
      </c>
      <c r="C170" t="s">
        <v>1012</v>
      </c>
      <c r="D170" t="str">
        <f>_xlfn.XLOOKUP(ISIC_Rev_5_english_structure__1[[#This Row],[Column4]],INDUSTRYGROUP!$C$2:$C$23,INDUSTRYGROUP!$D$2:$D$23,"NONE")</f>
        <v>Manufacturing</v>
      </c>
      <c r="E170" t="str">
        <f>_xlfn.XLOOKUP(LEFT(A170,2),SECTOR!$A$2:$A$88,SECTOR!$A$2:$A$88,"")</f>
        <v/>
      </c>
      <c r="F170" t="str">
        <f>_xlfn.XLOOKUP(LEFT(A170,2),SECTOR!$A$2:$A$88,SECTOR!$B$2:$B$88,"")</f>
        <v/>
      </c>
      <c r="G170" t="str">
        <f>_xlfn.XLOOKUP(LEFT(A170,3),INDUSTRY!$A$2:$A$259,INDUSTRY!$A$2:$A$259,"")</f>
        <v>191</v>
      </c>
      <c r="H170" t="str">
        <f>_xlfn.XLOOKUP(LEFT(A170,3),INDUSTRY!$A$2:$A$259,INDUSTRY!$B$2:$B$259,"")</f>
        <v>Manufacture of coke oven products</v>
      </c>
      <c r="I170" t="str">
        <f t="shared" si="4"/>
        <v>1910</v>
      </c>
      <c r="J170" t="str">
        <f t="shared" si="5"/>
        <v>Manufacture of coke oven products</v>
      </c>
    </row>
    <row r="171" spans="1:10" x14ac:dyDescent="0.25">
      <c r="A171" t="s">
        <v>1157</v>
      </c>
      <c r="B171" t="s">
        <v>1158</v>
      </c>
      <c r="C171" t="s">
        <v>1012</v>
      </c>
      <c r="D171" t="str">
        <f>_xlfn.XLOOKUP(ISIC_Rev_5_english_structure__1[[#This Row],[Column4]],INDUSTRYGROUP!$C$2:$C$23,INDUSTRYGROUP!$D$2:$D$23,"NONE")</f>
        <v>Manufacturing</v>
      </c>
      <c r="E171" t="str">
        <f>_xlfn.XLOOKUP(LEFT(A171,2),SECTOR!$A$2:$A$88,SECTOR!$A$2:$A$88,"")</f>
        <v/>
      </c>
      <c r="F171" t="str">
        <f>_xlfn.XLOOKUP(LEFT(A171,2),SECTOR!$A$2:$A$88,SECTOR!$B$2:$B$88,"")</f>
        <v/>
      </c>
      <c r="G171" t="str">
        <f>_xlfn.XLOOKUP(LEFT(A171,3),INDUSTRY!$A$2:$A$259,INDUSTRY!$A$2:$A$259,"")</f>
        <v>192</v>
      </c>
      <c r="H171" t="str">
        <f>_xlfn.XLOOKUP(LEFT(A171,3),INDUSTRY!$A$2:$A$259,INDUSTRY!$B$2:$B$259,"")</f>
        <v>Manufacture of refined petroleum products; manufacture of fossil fuel products</v>
      </c>
      <c r="I171" t="str">
        <f t="shared" si="4"/>
        <v/>
      </c>
      <c r="J171" t="str">
        <f t="shared" si="5"/>
        <v/>
      </c>
    </row>
    <row r="172" spans="1:10" x14ac:dyDescent="0.25">
      <c r="A172" t="s">
        <v>1159</v>
      </c>
      <c r="B172" t="s">
        <v>1158</v>
      </c>
      <c r="C172" t="s">
        <v>1012</v>
      </c>
      <c r="D172" t="str">
        <f>_xlfn.XLOOKUP(ISIC_Rev_5_english_structure__1[[#This Row],[Column4]],INDUSTRYGROUP!$C$2:$C$23,INDUSTRYGROUP!$D$2:$D$23,"NONE")</f>
        <v>Manufacturing</v>
      </c>
      <c r="E172" t="str">
        <f>_xlfn.XLOOKUP(LEFT(A172,2),SECTOR!$A$2:$A$88,SECTOR!$A$2:$A$88,"")</f>
        <v/>
      </c>
      <c r="F172" t="str">
        <f>_xlfn.XLOOKUP(LEFT(A172,2),SECTOR!$A$2:$A$88,SECTOR!$B$2:$B$88,"")</f>
        <v/>
      </c>
      <c r="G172" t="str">
        <f>_xlfn.XLOOKUP(LEFT(A172,3),INDUSTRY!$A$2:$A$259,INDUSTRY!$A$2:$A$259,"")</f>
        <v>192</v>
      </c>
      <c r="H172" t="str">
        <f>_xlfn.XLOOKUP(LEFT(A172,3),INDUSTRY!$A$2:$A$259,INDUSTRY!$B$2:$B$259,"")</f>
        <v>Manufacture of refined petroleum products; manufacture of fossil fuel products</v>
      </c>
      <c r="I172" t="str">
        <f t="shared" si="4"/>
        <v>1920</v>
      </c>
      <c r="J172" t="str">
        <f t="shared" si="5"/>
        <v>Manufacture of refined petroleum products; manufacture of fossil fuel products</v>
      </c>
    </row>
    <row r="173" spans="1:10" x14ac:dyDescent="0.25">
      <c r="A173" t="s">
        <v>1160</v>
      </c>
      <c r="B173" t="s">
        <v>1161</v>
      </c>
      <c r="C173" t="s">
        <v>1012</v>
      </c>
      <c r="D173" t="str">
        <f>_xlfn.XLOOKUP(ISIC_Rev_5_english_structure__1[[#This Row],[Column4]],INDUSTRYGROUP!$C$2:$C$23,INDUSTRYGROUP!$D$2:$D$23,"NONE")</f>
        <v>Manufacturing</v>
      </c>
      <c r="E173" t="str">
        <f>_xlfn.XLOOKUP(LEFT(A173,2),SECTOR!$A$2:$A$88,SECTOR!$A$2:$A$88,"")</f>
        <v/>
      </c>
      <c r="F173" t="str">
        <f>_xlfn.XLOOKUP(LEFT(A173,2),SECTOR!$A$2:$A$88,SECTOR!$B$2:$B$88,"")</f>
        <v/>
      </c>
      <c r="G173" t="str">
        <f>_xlfn.XLOOKUP(LEFT(A173,3),INDUSTRY!$A$2:$A$259,INDUSTRY!$A$2:$A$259,"")</f>
        <v/>
      </c>
      <c r="H173" t="str">
        <f>_xlfn.XLOOKUP(LEFT(A173,3),INDUSTRY!$A$2:$A$259,INDUSTRY!$B$2:$B$259,"")</f>
        <v/>
      </c>
      <c r="I173" t="str">
        <f t="shared" si="4"/>
        <v/>
      </c>
      <c r="J173" t="str">
        <f t="shared" si="5"/>
        <v/>
      </c>
    </row>
    <row r="174" spans="1:10" x14ac:dyDescent="0.25">
      <c r="A174" t="s">
        <v>1162</v>
      </c>
      <c r="B174" t="s">
        <v>1163</v>
      </c>
      <c r="C174" t="s">
        <v>1012</v>
      </c>
      <c r="D174" t="str">
        <f>_xlfn.XLOOKUP(ISIC_Rev_5_english_structure__1[[#This Row],[Column4]],INDUSTRYGROUP!$C$2:$C$23,INDUSTRYGROUP!$D$2:$D$23,"NONE")</f>
        <v>Manufacturing</v>
      </c>
      <c r="E174" t="str">
        <f>_xlfn.XLOOKUP(LEFT(A174,2),SECTOR!$A$2:$A$88,SECTOR!$A$2:$A$88,"")</f>
        <v/>
      </c>
      <c r="F174" t="str">
        <f>_xlfn.XLOOKUP(LEFT(A174,2),SECTOR!$A$2:$A$88,SECTOR!$B$2:$B$88,"")</f>
        <v/>
      </c>
      <c r="G174" t="str">
        <f>_xlfn.XLOOKUP(LEFT(A174,3),INDUSTRY!$A$2:$A$259,INDUSTRY!$A$2:$A$259,"")</f>
        <v>201</v>
      </c>
      <c r="H174" t="str">
        <f>_xlfn.XLOOKUP(LEFT(A174,3),INDUSTRY!$A$2:$A$259,INDUSTRY!$B$2:$B$259,"")</f>
        <v>Manufacture of basic chemicals, fertilizers and nitrogen compounds, plastics and synthetic rubber in primary forms</v>
      </c>
      <c r="I174" t="str">
        <f t="shared" si="4"/>
        <v/>
      </c>
      <c r="J174" t="str">
        <f t="shared" si="5"/>
        <v/>
      </c>
    </row>
    <row r="175" spans="1:10" x14ac:dyDescent="0.25">
      <c r="A175" t="s">
        <v>1164</v>
      </c>
      <c r="B175" t="s">
        <v>1165</v>
      </c>
      <c r="C175" t="s">
        <v>1012</v>
      </c>
      <c r="D175" t="str">
        <f>_xlfn.XLOOKUP(ISIC_Rev_5_english_structure__1[[#This Row],[Column4]],INDUSTRYGROUP!$C$2:$C$23,INDUSTRYGROUP!$D$2:$D$23,"NONE")</f>
        <v>Manufacturing</v>
      </c>
      <c r="E175" t="str">
        <f>_xlfn.XLOOKUP(LEFT(A175,2),SECTOR!$A$2:$A$88,SECTOR!$A$2:$A$88,"")</f>
        <v/>
      </c>
      <c r="F175" t="str">
        <f>_xlfn.XLOOKUP(LEFT(A175,2),SECTOR!$A$2:$A$88,SECTOR!$B$2:$B$88,"")</f>
        <v/>
      </c>
      <c r="G175" t="str">
        <f>_xlfn.XLOOKUP(LEFT(A175,3),INDUSTRY!$A$2:$A$259,INDUSTRY!$A$2:$A$259,"")</f>
        <v>201</v>
      </c>
      <c r="H175" t="str">
        <f>_xlfn.XLOOKUP(LEFT(A175,3),INDUSTRY!$A$2:$A$259,INDUSTRY!$B$2:$B$259,"")</f>
        <v>Manufacture of basic chemicals, fertilizers and nitrogen compounds, plastics and synthetic rubber in primary forms</v>
      </c>
      <c r="I175" t="str">
        <f t="shared" si="4"/>
        <v>2011</v>
      </c>
      <c r="J175" t="str">
        <f t="shared" si="5"/>
        <v>Manufacture of basic chemicals</v>
      </c>
    </row>
    <row r="176" spans="1:10" x14ac:dyDescent="0.25">
      <c r="A176" t="s">
        <v>1166</v>
      </c>
      <c r="B176" t="s">
        <v>1167</v>
      </c>
      <c r="C176" t="s">
        <v>1012</v>
      </c>
      <c r="D176" t="str">
        <f>_xlfn.XLOOKUP(ISIC_Rev_5_english_structure__1[[#This Row],[Column4]],INDUSTRYGROUP!$C$2:$C$23,INDUSTRYGROUP!$D$2:$D$23,"NONE")</f>
        <v>Manufacturing</v>
      </c>
      <c r="E176" t="str">
        <f>_xlfn.XLOOKUP(LEFT(A176,2),SECTOR!$A$2:$A$88,SECTOR!$A$2:$A$88,"")</f>
        <v/>
      </c>
      <c r="F176" t="str">
        <f>_xlfn.XLOOKUP(LEFT(A176,2),SECTOR!$A$2:$A$88,SECTOR!$B$2:$B$88,"")</f>
        <v/>
      </c>
      <c r="G176" t="str">
        <f>_xlfn.XLOOKUP(LEFT(A176,3),INDUSTRY!$A$2:$A$259,INDUSTRY!$A$2:$A$259,"")</f>
        <v>201</v>
      </c>
      <c r="H176" t="str">
        <f>_xlfn.XLOOKUP(LEFT(A176,3),INDUSTRY!$A$2:$A$259,INDUSTRY!$B$2:$B$259,"")</f>
        <v>Manufacture of basic chemicals, fertilizers and nitrogen compounds, plastics and synthetic rubber in primary forms</v>
      </c>
      <c r="I176" t="str">
        <f t="shared" si="4"/>
        <v>2012</v>
      </c>
      <c r="J176" t="str">
        <f t="shared" si="5"/>
        <v>Manufacture of fertilizers and nitrogen compounds</v>
      </c>
    </row>
    <row r="177" spans="1:10" x14ac:dyDescent="0.25">
      <c r="A177" t="s">
        <v>1168</v>
      </c>
      <c r="B177" t="s">
        <v>1169</v>
      </c>
      <c r="C177" t="s">
        <v>1012</v>
      </c>
      <c r="D177" t="str">
        <f>_xlfn.XLOOKUP(ISIC_Rev_5_english_structure__1[[#This Row],[Column4]],INDUSTRYGROUP!$C$2:$C$23,INDUSTRYGROUP!$D$2:$D$23,"NONE")</f>
        <v>Manufacturing</v>
      </c>
      <c r="E177" t="str">
        <f>_xlfn.XLOOKUP(LEFT(A177,2),SECTOR!$A$2:$A$88,SECTOR!$A$2:$A$88,"")</f>
        <v/>
      </c>
      <c r="F177" t="str">
        <f>_xlfn.XLOOKUP(LEFT(A177,2),SECTOR!$A$2:$A$88,SECTOR!$B$2:$B$88,"")</f>
        <v/>
      </c>
      <c r="G177" t="str">
        <f>_xlfn.XLOOKUP(LEFT(A177,3),INDUSTRY!$A$2:$A$259,INDUSTRY!$A$2:$A$259,"")</f>
        <v>201</v>
      </c>
      <c r="H177" t="str">
        <f>_xlfn.XLOOKUP(LEFT(A177,3),INDUSTRY!$A$2:$A$259,INDUSTRY!$B$2:$B$259,"")</f>
        <v>Manufacture of basic chemicals, fertilizers and nitrogen compounds, plastics and synthetic rubber in primary forms</v>
      </c>
      <c r="I177" t="str">
        <f t="shared" si="4"/>
        <v>2013</v>
      </c>
      <c r="J177" t="str">
        <f t="shared" si="5"/>
        <v>Manufacture of plastics and synthetic rubber in primary forms</v>
      </c>
    </row>
    <row r="178" spans="1:10" x14ac:dyDescent="0.25">
      <c r="A178" t="s">
        <v>1170</v>
      </c>
      <c r="B178" t="s">
        <v>1171</v>
      </c>
      <c r="C178" t="s">
        <v>1012</v>
      </c>
      <c r="D178" t="str">
        <f>_xlfn.XLOOKUP(ISIC_Rev_5_english_structure__1[[#This Row],[Column4]],INDUSTRYGROUP!$C$2:$C$23,INDUSTRYGROUP!$D$2:$D$23,"NONE")</f>
        <v>Manufacturing</v>
      </c>
      <c r="E178" t="str">
        <f>_xlfn.XLOOKUP(LEFT(A178,2),SECTOR!$A$2:$A$88,SECTOR!$A$2:$A$88,"")</f>
        <v/>
      </c>
      <c r="F178" t="str">
        <f>_xlfn.XLOOKUP(LEFT(A178,2),SECTOR!$A$2:$A$88,SECTOR!$B$2:$B$88,"")</f>
        <v/>
      </c>
      <c r="G178" t="str">
        <f>_xlfn.XLOOKUP(LEFT(A178,3),INDUSTRY!$A$2:$A$259,INDUSTRY!$A$2:$A$259,"")</f>
        <v>202</v>
      </c>
      <c r="H178" t="str">
        <f>_xlfn.XLOOKUP(LEFT(A178,3),INDUSTRY!$A$2:$A$259,INDUSTRY!$B$2:$B$259,"")</f>
        <v>Manufacture of other chemical products</v>
      </c>
      <c r="I178" t="str">
        <f t="shared" si="4"/>
        <v/>
      </c>
      <c r="J178" t="str">
        <f t="shared" si="5"/>
        <v/>
      </c>
    </row>
    <row r="179" spans="1:10" x14ac:dyDescent="0.25">
      <c r="A179" t="s">
        <v>1172</v>
      </c>
      <c r="B179" t="s">
        <v>1173</v>
      </c>
      <c r="C179" t="s">
        <v>1012</v>
      </c>
      <c r="D179" t="str">
        <f>_xlfn.XLOOKUP(ISIC_Rev_5_english_structure__1[[#This Row],[Column4]],INDUSTRYGROUP!$C$2:$C$23,INDUSTRYGROUP!$D$2:$D$23,"NONE")</f>
        <v>Manufacturing</v>
      </c>
      <c r="E179" t="str">
        <f>_xlfn.XLOOKUP(LEFT(A179,2),SECTOR!$A$2:$A$88,SECTOR!$A$2:$A$88,"")</f>
        <v/>
      </c>
      <c r="F179" t="str">
        <f>_xlfn.XLOOKUP(LEFT(A179,2),SECTOR!$A$2:$A$88,SECTOR!$B$2:$B$88,"")</f>
        <v/>
      </c>
      <c r="G179" t="str">
        <f>_xlfn.XLOOKUP(LEFT(A179,3),INDUSTRY!$A$2:$A$259,INDUSTRY!$A$2:$A$259,"")</f>
        <v>202</v>
      </c>
      <c r="H179" t="str">
        <f>_xlfn.XLOOKUP(LEFT(A179,3),INDUSTRY!$A$2:$A$259,INDUSTRY!$B$2:$B$259,"")</f>
        <v>Manufacture of other chemical products</v>
      </c>
      <c r="I179" t="str">
        <f t="shared" si="4"/>
        <v>2021</v>
      </c>
      <c r="J179" t="str">
        <f t="shared" si="5"/>
        <v>Manufacture of pesticides and other agrochemical products</v>
      </c>
    </row>
    <row r="180" spans="1:10" x14ac:dyDescent="0.25">
      <c r="A180" t="s">
        <v>1174</v>
      </c>
      <c r="B180" t="s">
        <v>1175</v>
      </c>
      <c r="C180" t="s">
        <v>1012</v>
      </c>
      <c r="D180" t="str">
        <f>_xlfn.XLOOKUP(ISIC_Rev_5_english_structure__1[[#This Row],[Column4]],INDUSTRYGROUP!$C$2:$C$23,INDUSTRYGROUP!$D$2:$D$23,"NONE")</f>
        <v>Manufacturing</v>
      </c>
      <c r="E180" t="str">
        <f>_xlfn.XLOOKUP(LEFT(A180,2),SECTOR!$A$2:$A$88,SECTOR!$A$2:$A$88,"")</f>
        <v/>
      </c>
      <c r="F180" t="str">
        <f>_xlfn.XLOOKUP(LEFT(A180,2),SECTOR!$A$2:$A$88,SECTOR!$B$2:$B$88,"")</f>
        <v/>
      </c>
      <c r="G180" t="str">
        <f>_xlfn.XLOOKUP(LEFT(A180,3),INDUSTRY!$A$2:$A$259,INDUSTRY!$A$2:$A$259,"")</f>
        <v>202</v>
      </c>
      <c r="H180" t="str">
        <f>_xlfn.XLOOKUP(LEFT(A180,3),INDUSTRY!$A$2:$A$259,INDUSTRY!$B$2:$B$259,"")</f>
        <v>Manufacture of other chemical products</v>
      </c>
      <c r="I180" t="str">
        <f t="shared" si="4"/>
        <v>2022</v>
      </c>
      <c r="J180" t="str">
        <f t="shared" si="5"/>
        <v>Manufacture of paints, varnishes and similar coatings, printing ink and mastics</v>
      </c>
    </row>
    <row r="181" spans="1:10" x14ac:dyDescent="0.25">
      <c r="A181" t="s">
        <v>1176</v>
      </c>
      <c r="B181" t="s">
        <v>1177</v>
      </c>
      <c r="C181" t="s">
        <v>1012</v>
      </c>
      <c r="D181" t="str">
        <f>_xlfn.XLOOKUP(ISIC_Rev_5_english_structure__1[[#This Row],[Column4]],INDUSTRYGROUP!$C$2:$C$23,INDUSTRYGROUP!$D$2:$D$23,"NONE")</f>
        <v>Manufacturing</v>
      </c>
      <c r="E181" t="str">
        <f>_xlfn.XLOOKUP(LEFT(A181,2),SECTOR!$A$2:$A$88,SECTOR!$A$2:$A$88,"")</f>
        <v/>
      </c>
      <c r="F181" t="str">
        <f>_xlfn.XLOOKUP(LEFT(A181,2),SECTOR!$A$2:$A$88,SECTOR!$B$2:$B$88,"")</f>
        <v/>
      </c>
      <c r="G181" t="str">
        <f>_xlfn.XLOOKUP(LEFT(A181,3),INDUSTRY!$A$2:$A$259,INDUSTRY!$A$2:$A$259,"")</f>
        <v>202</v>
      </c>
      <c r="H181" t="str">
        <f>_xlfn.XLOOKUP(LEFT(A181,3),INDUSTRY!$A$2:$A$259,INDUSTRY!$B$2:$B$259,"")</f>
        <v>Manufacture of other chemical products</v>
      </c>
      <c r="I181" t="str">
        <f t="shared" si="4"/>
        <v>2023</v>
      </c>
      <c r="J181" t="str">
        <f t="shared" si="5"/>
        <v>Manufacture of soap and detergents, cleaning and polishing preparations, perfumes and toilet preparations</v>
      </c>
    </row>
    <row r="182" spans="1:10" x14ac:dyDescent="0.25">
      <c r="A182" t="s">
        <v>1178</v>
      </c>
      <c r="B182" t="s">
        <v>1179</v>
      </c>
      <c r="C182" t="s">
        <v>1012</v>
      </c>
      <c r="D182" t="str">
        <f>_xlfn.XLOOKUP(ISIC_Rev_5_english_structure__1[[#This Row],[Column4]],INDUSTRYGROUP!$C$2:$C$23,INDUSTRYGROUP!$D$2:$D$23,"NONE")</f>
        <v>Manufacturing</v>
      </c>
      <c r="E182" t="str">
        <f>_xlfn.XLOOKUP(LEFT(A182,2),SECTOR!$A$2:$A$88,SECTOR!$A$2:$A$88,"")</f>
        <v/>
      </c>
      <c r="F182" t="str">
        <f>_xlfn.XLOOKUP(LEFT(A182,2),SECTOR!$A$2:$A$88,SECTOR!$B$2:$B$88,"")</f>
        <v/>
      </c>
      <c r="G182" t="str">
        <f>_xlfn.XLOOKUP(LEFT(A182,3),INDUSTRY!$A$2:$A$259,INDUSTRY!$A$2:$A$259,"")</f>
        <v>202</v>
      </c>
      <c r="H182" t="str">
        <f>_xlfn.XLOOKUP(LEFT(A182,3),INDUSTRY!$A$2:$A$259,INDUSTRY!$B$2:$B$259,"")</f>
        <v>Manufacture of other chemical products</v>
      </c>
      <c r="I182" t="str">
        <f t="shared" si="4"/>
        <v>2029</v>
      </c>
      <c r="J182" t="str">
        <f t="shared" si="5"/>
        <v>Manufacture of other chemical products n.e.c.</v>
      </c>
    </row>
    <row r="183" spans="1:10" x14ac:dyDescent="0.25">
      <c r="A183" t="s">
        <v>1180</v>
      </c>
      <c r="B183" t="s">
        <v>1181</v>
      </c>
      <c r="C183" t="s">
        <v>1012</v>
      </c>
      <c r="D183" t="str">
        <f>_xlfn.XLOOKUP(ISIC_Rev_5_english_structure__1[[#This Row],[Column4]],INDUSTRYGROUP!$C$2:$C$23,INDUSTRYGROUP!$D$2:$D$23,"NONE")</f>
        <v>Manufacturing</v>
      </c>
      <c r="E183" t="str">
        <f>_xlfn.XLOOKUP(LEFT(A183,2),SECTOR!$A$2:$A$88,SECTOR!$A$2:$A$88,"")</f>
        <v/>
      </c>
      <c r="F183" t="str">
        <f>_xlfn.XLOOKUP(LEFT(A183,2),SECTOR!$A$2:$A$88,SECTOR!$B$2:$B$88,"")</f>
        <v/>
      </c>
      <c r="G183" t="str">
        <f>_xlfn.XLOOKUP(LEFT(A183,3),INDUSTRY!$A$2:$A$259,INDUSTRY!$A$2:$A$259,"")</f>
        <v>203</v>
      </c>
      <c r="H183" t="str">
        <f>_xlfn.XLOOKUP(LEFT(A183,3),INDUSTRY!$A$2:$A$259,INDUSTRY!$B$2:$B$259,"")</f>
        <v>Manufacture of man-made fibres</v>
      </c>
      <c r="I183" t="str">
        <f t="shared" si="4"/>
        <v/>
      </c>
      <c r="J183" t="str">
        <f t="shared" si="5"/>
        <v/>
      </c>
    </row>
    <row r="184" spans="1:10" x14ac:dyDescent="0.25">
      <c r="A184" t="s">
        <v>1182</v>
      </c>
      <c r="B184" t="s">
        <v>1181</v>
      </c>
      <c r="C184" t="s">
        <v>1012</v>
      </c>
      <c r="D184" t="str">
        <f>_xlfn.XLOOKUP(ISIC_Rev_5_english_structure__1[[#This Row],[Column4]],INDUSTRYGROUP!$C$2:$C$23,INDUSTRYGROUP!$D$2:$D$23,"NONE")</f>
        <v>Manufacturing</v>
      </c>
      <c r="E184" t="str">
        <f>_xlfn.XLOOKUP(LEFT(A184,2),SECTOR!$A$2:$A$88,SECTOR!$A$2:$A$88,"")</f>
        <v/>
      </c>
      <c r="F184" t="str">
        <f>_xlfn.XLOOKUP(LEFT(A184,2),SECTOR!$A$2:$A$88,SECTOR!$B$2:$B$88,"")</f>
        <v/>
      </c>
      <c r="G184" t="str">
        <f>_xlfn.XLOOKUP(LEFT(A184,3),INDUSTRY!$A$2:$A$259,INDUSTRY!$A$2:$A$259,"")</f>
        <v>203</v>
      </c>
      <c r="H184" t="str">
        <f>_xlfn.XLOOKUP(LEFT(A184,3),INDUSTRY!$A$2:$A$259,INDUSTRY!$B$2:$B$259,"")</f>
        <v>Manufacture of man-made fibres</v>
      </c>
      <c r="I184" t="str">
        <f t="shared" si="4"/>
        <v>2030</v>
      </c>
      <c r="J184" t="str">
        <f t="shared" si="5"/>
        <v>Manufacture of man-made fibres</v>
      </c>
    </row>
    <row r="185" spans="1:10" x14ac:dyDescent="0.25">
      <c r="A185" t="s">
        <v>1183</v>
      </c>
      <c r="B185" t="s">
        <v>1184</v>
      </c>
      <c r="C185" t="s">
        <v>1012</v>
      </c>
      <c r="D185" t="str">
        <f>_xlfn.XLOOKUP(ISIC_Rev_5_english_structure__1[[#This Row],[Column4]],INDUSTRYGROUP!$C$2:$C$23,INDUSTRYGROUP!$D$2:$D$23,"NONE")</f>
        <v>Manufacturing</v>
      </c>
      <c r="E185" t="str">
        <f>_xlfn.XLOOKUP(LEFT(A185,2),SECTOR!$A$2:$A$88,SECTOR!$A$2:$A$88,"")</f>
        <v/>
      </c>
      <c r="F185" t="str">
        <f>_xlfn.XLOOKUP(LEFT(A185,2),SECTOR!$A$2:$A$88,SECTOR!$B$2:$B$88,"")</f>
        <v/>
      </c>
      <c r="G185" t="str">
        <f>_xlfn.XLOOKUP(LEFT(A185,3),INDUSTRY!$A$2:$A$259,INDUSTRY!$A$2:$A$259,"")</f>
        <v/>
      </c>
      <c r="H185" t="str">
        <f>_xlfn.XLOOKUP(LEFT(A185,3),INDUSTRY!$A$2:$A$259,INDUSTRY!$B$2:$B$259,"")</f>
        <v/>
      </c>
      <c r="I185" t="str">
        <f t="shared" si="4"/>
        <v/>
      </c>
      <c r="J185" t="str">
        <f t="shared" si="5"/>
        <v/>
      </c>
    </row>
    <row r="186" spans="1:10" x14ac:dyDescent="0.25">
      <c r="A186" t="s">
        <v>1185</v>
      </c>
      <c r="B186" t="s">
        <v>1186</v>
      </c>
      <c r="C186" t="s">
        <v>1012</v>
      </c>
      <c r="D186" t="str">
        <f>_xlfn.XLOOKUP(ISIC_Rev_5_english_structure__1[[#This Row],[Column4]],INDUSTRYGROUP!$C$2:$C$23,INDUSTRYGROUP!$D$2:$D$23,"NONE")</f>
        <v>Manufacturing</v>
      </c>
      <c r="E186" t="str">
        <f>_xlfn.XLOOKUP(LEFT(A186,2),SECTOR!$A$2:$A$88,SECTOR!$A$2:$A$88,"")</f>
        <v/>
      </c>
      <c r="F186" t="str">
        <f>_xlfn.XLOOKUP(LEFT(A186,2),SECTOR!$A$2:$A$88,SECTOR!$B$2:$B$88,"")</f>
        <v/>
      </c>
      <c r="G186" t="str">
        <f>_xlfn.XLOOKUP(LEFT(A186,3),INDUSTRY!$A$2:$A$259,INDUSTRY!$A$2:$A$259,"")</f>
        <v>210</v>
      </c>
      <c r="H186" t="str">
        <f>_xlfn.XLOOKUP(LEFT(A186,3),INDUSTRY!$A$2:$A$259,INDUSTRY!$B$2:$B$259,"")</f>
        <v>Manufacture of pharmaceuticals, medicinal chemical and botanical products</v>
      </c>
      <c r="I186" t="str">
        <f t="shared" si="4"/>
        <v/>
      </c>
      <c r="J186" t="str">
        <f t="shared" si="5"/>
        <v/>
      </c>
    </row>
    <row r="187" spans="1:10" x14ac:dyDescent="0.25">
      <c r="A187" t="s">
        <v>1187</v>
      </c>
      <c r="B187" t="s">
        <v>1186</v>
      </c>
      <c r="C187" t="s">
        <v>1012</v>
      </c>
      <c r="D187" t="str">
        <f>_xlfn.XLOOKUP(ISIC_Rev_5_english_structure__1[[#This Row],[Column4]],INDUSTRYGROUP!$C$2:$C$23,INDUSTRYGROUP!$D$2:$D$23,"NONE")</f>
        <v>Manufacturing</v>
      </c>
      <c r="E187" t="str">
        <f>_xlfn.XLOOKUP(LEFT(A187,2),SECTOR!$A$2:$A$88,SECTOR!$A$2:$A$88,"")</f>
        <v/>
      </c>
      <c r="F187" t="str">
        <f>_xlfn.XLOOKUP(LEFT(A187,2),SECTOR!$A$2:$A$88,SECTOR!$B$2:$B$88,"")</f>
        <v/>
      </c>
      <c r="G187" t="str">
        <f>_xlfn.XLOOKUP(LEFT(A187,3),INDUSTRY!$A$2:$A$259,INDUSTRY!$A$2:$A$259,"")</f>
        <v>210</v>
      </c>
      <c r="H187" t="str">
        <f>_xlfn.XLOOKUP(LEFT(A187,3),INDUSTRY!$A$2:$A$259,INDUSTRY!$B$2:$B$259,"")</f>
        <v>Manufacture of pharmaceuticals, medicinal chemical and botanical products</v>
      </c>
      <c r="I187" t="str">
        <f t="shared" si="4"/>
        <v>2100</v>
      </c>
      <c r="J187" t="str">
        <f t="shared" si="5"/>
        <v>Manufacture of pharmaceuticals, medicinal chemical and botanical products</v>
      </c>
    </row>
    <row r="188" spans="1:10" x14ac:dyDescent="0.25">
      <c r="A188" t="s">
        <v>1188</v>
      </c>
      <c r="B188" t="s">
        <v>1189</v>
      </c>
      <c r="C188" t="s">
        <v>1012</v>
      </c>
      <c r="D188" t="str">
        <f>_xlfn.XLOOKUP(ISIC_Rev_5_english_structure__1[[#This Row],[Column4]],INDUSTRYGROUP!$C$2:$C$23,INDUSTRYGROUP!$D$2:$D$23,"NONE")</f>
        <v>Manufacturing</v>
      </c>
      <c r="E188" t="str">
        <f>_xlfn.XLOOKUP(LEFT(A188,2),SECTOR!$A$2:$A$88,SECTOR!$A$2:$A$88,"")</f>
        <v/>
      </c>
      <c r="F188" t="str">
        <f>_xlfn.XLOOKUP(LEFT(A188,2),SECTOR!$A$2:$A$88,SECTOR!$B$2:$B$88,"")</f>
        <v/>
      </c>
      <c r="G188" t="str">
        <f>_xlfn.XLOOKUP(LEFT(A188,3),INDUSTRY!$A$2:$A$259,INDUSTRY!$A$2:$A$259,"")</f>
        <v/>
      </c>
      <c r="H188" t="str">
        <f>_xlfn.XLOOKUP(LEFT(A188,3),INDUSTRY!$A$2:$A$259,INDUSTRY!$B$2:$B$259,"")</f>
        <v/>
      </c>
      <c r="I188" t="str">
        <f t="shared" si="4"/>
        <v/>
      </c>
      <c r="J188" t="str">
        <f t="shared" si="5"/>
        <v/>
      </c>
    </row>
    <row r="189" spans="1:10" x14ac:dyDescent="0.25">
      <c r="A189" t="s">
        <v>1190</v>
      </c>
      <c r="B189" t="s">
        <v>1191</v>
      </c>
      <c r="C189" t="s">
        <v>1012</v>
      </c>
      <c r="D189" t="str">
        <f>_xlfn.XLOOKUP(ISIC_Rev_5_english_structure__1[[#This Row],[Column4]],INDUSTRYGROUP!$C$2:$C$23,INDUSTRYGROUP!$D$2:$D$23,"NONE")</f>
        <v>Manufacturing</v>
      </c>
      <c r="E189" t="str">
        <f>_xlfn.XLOOKUP(LEFT(A189,2),SECTOR!$A$2:$A$88,SECTOR!$A$2:$A$88,"")</f>
        <v/>
      </c>
      <c r="F189" t="str">
        <f>_xlfn.XLOOKUP(LEFT(A189,2),SECTOR!$A$2:$A$88,SECTOR!$B$2:$B$88,"")</f>
        <v/>
      </c>
      <c r="G189" t="str">
        <f>_xlfn.XLOOKUP(LEFT(A189,3),INDUSTRY!$A$2:$A$259,INDUSTRY!$A$2:$A$259,"")</f>
        <v>221</v>
      </c>
      <c r="H189" t="str">
        <f>_xlfn.XLOOKUP(LEFT(A189,3),INDUSTRY!$A$2:$A$259,INDUSTRY!$B$2:$B$259,"")</f>
        <v>Manufacture of rubber products</v>
      </c>
      <c r="I189" t="str">
        <f t="shared" si="4"/>
        <v/>
      </c>
      <c r="J189" t="str">
        <f t="shared" si="5"/>
        <v/>
      </c>
    </row>
    <row r="190" spans="1:10" x14ac:dyDescent="0.25">
      <c r="A190" t="s">
        <v>1192</v>
      </c>
      <c r="B190" t="s">
        <v>1193</v>
      </c>
      <c r="C190" t="s">
        <v>1012</v>
      </c>
      <c r="D190" t="str">
        <f>_xlfn.XLOOKUP(ISIC_Rev_5_english_structure__1[[#This Row],[Column4]],INDUSTRYGROUP!$C$2:$C$23,INDUSTRYGROUP!$D$2:$D$23,"NONE")</f>
        <v>Manufacturing</v>
      </c>
      <c r="E190" t="str">
        <f>_xlfn.XLOOKUP(LEFT(A190,2),SECTOR!$A$2:$A$88,SECTOR!$A$2:$A$88,"")</f>
        <v/>
      </c>
      <c r="F190" t="str">
        <f>_xlfn.XLOOKUP(LEFT(A190,2),SECTOR!$A$2:$A$88,SECTOR!$B$2:$B$88,"")</f>
        <v/>
      </c>
      <c r="G190" t="str">
        <f>_xlfn.XLOOKUP(LEFT(A190,3),INDUSTRY!$A$2:$A$259,INDUSTRY!$A$2:$A$259,"")</f>
        <v>221</v>
      </c>
      <c r="H190" t="str">
        <f>_xlfn.XLOOKUP(LEFT(A190,3),INDUSTRY!$A$2:$A$259,INDUSTRY!$B$2:$B$259,"")</f>
        <v>Manufacture of rubber products</v>
      </c>
      <c r="I190" t="str">
        <f t="shared" si="4"/>
        <v>2211</v>
      </c>
      <c r="J190" t="str">
        <f t="shared" si="5"/>
        <v>Manufacture of rubber tyres and tubes; retreading and rebuilding of rubber tyres</v>
      </c>
    </row>
    <row r="191" spans="1:10" x14ac:dyDescent="0.25">
      <c r="A191" t="s">
        <v>1194</v>
      </c>
      <c r="B191" t="s">
        <v>1195</v>
      </c>
      <c r="C191" t="s">
        <v>1012</v>
      </c>
      <c r="D191" t="str">
        <f>_xlfn.XLOOKUP(ISIC_Rev_5_english_structure__1[[#This Row],[Column4]],INDUSTRYGROUP!$C$2:$C$23,INDUSTRYGROUP!$D$2:$D$23,"NONE")</f>
        <v>Manufacturing</v>
      </c>
      <c r="E191" t="str">
        <f>_xlfn.XLOOKUP(LEFT(A191,2),SECTOR!$A$2:$A$88,SECTOR!$A$2:$A$88,"")</f>
        <v/>
      </c>
      <c r="F191" t="str">
        <f>_xlfn.XLOOKUP(LEFT(A191,2),SECTOR!$A$2:$A$88,SECTOR!$B$2:$B$88,"")</f>
        <v/>
      </c>
      <c r="G191" t="str">
        <f>_xlfn.XLOOKUP(LEFT(A191,3),INDUSTRY!$A$2:$A$259,INDUSTRY!$A$2:$A$259,"")</f>
        <v>221</v>
      </c>
      <c r="H191" t="str">
        <f>_xlfn.XLOOKUP(LEFT(A191,3),INDUSTRY!$A$2:$A$259,INDUSTRY!$B$2:$B$259,"")</f>
        <v>Manufacture of rubber products</v>
      </c>
      <c r="I191" t="str">
        <f t="shared" si="4"/>
        <v>2219</v>
      </c>
      <c r="J191" t="str">
        <f t="shared" si="5"/>
        <v>Manufacture of other rubber products</v>
      </c>
    </row>
    <row r="192" spans="1:10" x14ac:dyDescent="0.25">
      <c r="A192" t="s">
        <v>1196</v>
      </c>
      <c r="B192" t="s">
        <v>1197</v>
      </c>
      <c r="C192" t="s">
        <v>1012</v>
      </c>
      <c r="D192" t="str">
        <f>_xlfn.XLOOKUP(ISIC_Rev_5_english_structure__1[[#This Row],[Column4]],INDUSTRYGROUP!$C$2:$C$23,INDUSTRYGROUP!$D$2:$D$23,"NONE")</f>
        <v>Manufacturing</v>
      </c>
      <c r="E192" t="str">
        <f>_xlfn.XLOOKUP(LEFT(A192,2),SECTOR!$A$2:$A$88,SECTOR!$A$2:$A$88,"")</f>
        <v/>
      </c>
      <c r="F192" t="str">
        <f>_xlfn.XLOOKUP(LEFT(A192,2),SECTOR!$A$2:$A$88,SECTOR!$B$2:$B$88,"")</f>
        <v/>
      </c>
      <c r="G192" t="str">
        <f>_xlfn.XLOOKUP(LEFT(A192,3),INDUSTRY!$A$2:$A$259,INDUSTRY!$A$2:$A$259,"")</f>
        <v>222</v>
      </c>
      <c r="H192" t="str">
        <f>_xlfn.XLOOKUP(LEFT(A192,3),INDUSTRY!$A$2:$A$259,INDUSTRY!$B$2:$B$259,"")</f>
        <v>Manufacture of plastics products</v>
      </c>
      <c r="I192" t="str">
        <f t="shared" si="4"/>
        <v/>
      </c>
      <c r="J192" t="str">
        <f t="shared" si="5"/>
        <v/>
      </c>
    </row>
    <row r="193" spans="1:10" x14ac:dyDescent="0.25">
      <c r="A193" t="s">
        <v>1198</v>
      </c>
      <c r="B193" t="s">
        <v>1197</v>
      </c>
      <c r="C193" t="s">
        <v>1012</v>
      </c>
      <c r="D193" t="str">
        <f>_xlfn.XLOOKUP(ISIC_Rev_5_english_structure__1[[#This Row],[Column4]],INDUSTRYGROUP!$C$2:$C$23,INDUSTRYGROUP!$D$2:$D$23,"NONE")</f>
        <v>Manufacturing</v>
      </c>
      <c r="E193" t="str">
        <f>_xlfn.XLOOKUP(LEFT(A193,2),SECTOR!$A$2:$A$88,SECTOR!$A$2:$A$88,"")</f>
        <v/>
      </c>
      <c r="F193" t="str">
        <f>_xlfn.XLOOKUP(LEFT(A193,2),SECTOR!$A$2:$A$88,SECTOR!$B$2:$B$88,"")</f>
        <v/>
      </c>
      <c r="G193" t="str">
        <f>_xlfn.XLOOKUP(LEFT(A193,3),INDUSTRY!$A$2:$A$259,INDUSTRY!$A$2:$A$259,"")</f>
        <v>222</v>
      </c>
      <c r="H193" t="str">
        <f>_xlfn.XLOOKUP(LEFT(A193,3),INDUSTRY!$A$2:$A$259,INDUSTRY!$B$2:$B$259,"")</f>
        <v>Manufacture of plastics products</v>
      </c>
      <c r="I193" t="str">
        <f t="shared" si="4"/>
        <v>2220</v>
      </c>
      <c r="J193" t="str">
        <f t="shared" si="5"/>
        <v>Manufacture of plastics products</v>
      </c>
    </row>
    <row r="194" spans="1:10" x14ac:dyDescent="0.25">
      <c r="A194" t="s">
        <v>1199</v>
      </c>
      <c r="B194" t="s">
        <v>1200</v>
      </c>
      <c r="C194" t="s">
        <v>1012</v>
      </c>
      <c r="D194" t="str">
        <f>_xlfn.XLOOKUP(ISIC_Rev_5_english_structure__1[[#This Row],[Column4]],INDUSTRYGROUP!$C$2:$C$23,INDUSTRYGROUP!$D$2:$D$23,"NONE")</f>
        <v>Manufacturing</v>
      </c>
      <c r="E194" t="str">
        <f>_xlfn.XLOOKUP(LEFT(A194,2),SECTOR!$A$2:$A$88,SECTOR!$A$2:$A$88,"")</f>
        <v/>
      </c>
      <c r="F194" t="str">
        <f>_xlfn.XLOOKUP(LEFT(A194,2),SECTOR!$A$2:$A$88,SECTOR!$B$2:$B$88,"")</f>
        <v/>
      </c>
      <c r="G194" t="str">
        <f>_xlfn.XLOOKUP(LEFT(A194,3),INDUSTRY!$A$2:$A$259,INDUSTRY!$A$2:$A$259,"")</f>
        <v/>
      </c>
      <c r="H194" t="str">
        <f>_xlfn.XLOOKUP(LEFT(A194,3),INDUSTRY!$A$2:$A$259,INDUSTRY!$B$2:$B$259,"")</f>
        <v/>
      </c>
      <c r="I194" t="str">
        <f t="shared" ref="I194:I257" si="6">IF(LEN(A194)=4,A194,"")</f>
        <v/>
      </c>
      <c r="J194" t="str">
        <f t="shared" ref="J194:J257" si="7">IF(LEN(A194)=4,B194,"")</f>
        <v/>
      </c>
    </row>
    <row r="195" spans="1:10" x14ac:dyDescent="0.25">
      <c r="A195" t="s">
        <v>1201</v>
      </c>
      <c r="B195" t="s">
        <v>1202</v>
      </c>
      <c r="C195" t="s">
        <v>1012</v>
      </c>
      <c r="D195" t="str">
        <f>_xlfn.XLOOKUP(ISIC_Rev_5_english_structure__1[[#This Row],[Column4]],INDUSTRYGROUP!$C$2:$C$23,INDUSTRYGROUP!$D$2:$D$23,"NONE")</f>
        <v>Manufacturing</v>
      </c>
      <c r="E195" t="str">
        <f>_xlfn.XLOOKUP(LEFT(A195,2),SECTOR!$A$2:$A$88,SECTOR!$A$2:$A$88,"")</f>
        <v/>
      </c>
      <c r="F195" t="str">
        <f>_xlfn.XLOOKUP(LEFT(A195,2),SECTOR!$A$2:$A$88,SECTOR!$B$2:$B$88,"")</f>
        <v/>
      </c>
      <c r="G195" t="str">
        <f>_xlfn.XLOOKUP(LEFT(A195,3),INDUSTRY!$A$2:$A$259,INDUSTRY!$A$2:$A$259,"")</f>
        <v>231</v>
      </c>
      <c r="H195" t="str">
        <f>_xlfn.XLOOKUP(LEFT(A195,3),INDUSTRY!$A$2:$A$259,INDUSTRY!$B$2:$B$259,"")</f>
        <v>Manufacture of glass and glass products</v>
      </c>
      <c r="I195" t="str">
        <f t="shared" si="6"/>
        <v/>
      </c>
      <c r="J195" t="str">
        <f t="shared" si="7"/>
        <v/>
      </c>
    </row>
    <row r="196" spans="1:10" x14ac:dyDescent="0.25">
      <c r="A196" t="s">
        <v>1203</v>
      </c>
      <c r="B196" t="s">
        <v>1202</v>
      </c>
      <c r="C196" t="s">
        <v>1012</v>
      </c>
      <c r="D196" t="str">
        <f>_xlfn.XLOOKUP(ISIC_Rev_5_english_structure__1[[#This Row],[Column4]],INDUSTRYGROUP!$C$2:$C$23,INDUSTRYGROUP!$D$2:$D$23,"NONE")</f>
        <v>Manufacturing</v>
      </c>
      <c r="E196" t="str">
        <f>_xlfn.XLOOKUP(LEFT(A196,2),SECTOR!$A$2:$A$88,SECTOR!$A$2:$A$88,"")</f>
        <v/>
      </c>
      <c r="F196" t="str">
        <f>_xlfn.XLOOKUP(LEFT(A196,2),SECTOR!$A$2:$A$88,SECTOR!$B$2:$B$88,"")</f>
        <v/>
      </c>
      <c r="G196" t="str">
        <f>_xlfn.XLOOKUP(LEFT(A196,3),INDUSTRY!$A$2:$A$259,INDUSTRY!$A$2:$A$259,"")</f>
        <v>231</v>
      </c>
      <c r="H196" t="str">
        <f>_xlfn.XLOOKUP(LEFT(A196,3),INDUSTRY!$A$2:$A$259,INDUSTRY!$B$2:$B$259,"")</f>
        <v>Manufacture of glass and glass products</v>
      </c>
      <c r="I196" t="str">
        <f t="shared" si="6"/>
        <v>2310</v>
      </c>
      <c r="J196" t="str">
        <f t="shared" si="7"/>
        <v>Manufacture of glass and glass products</v>
      </c>
    </row>
    <row r="197" spans="1:10" x14ac:dyDescent="0.25">
      <c r="A197" t="s">
        <v>1204</v>
      </c>
      <c r="B197" t="s">
        <v>1205</v>
      </c>
      <c r="C197" t="s">
        <v>1012</v>
      </c>
      <c r="D197" t="str">
        <f>_xlfn.XLOOKUP(ISIC_Rev_5_english_structure__1[[#This Row],[Column4]],INDUSTRYGROUP!$C$2:$C$23,INDUSTRYGROUP!$D$2:$D$23,"NONE")</f>
        <v>Manufacturing</v>
      </c>
      <c r="E197" t="str">
        <f>_xlfn.XLOOKUP(LEFT(A197,2),SECTOR!$A$2:$A$88,SECTOR!$A$2:$A$88,"")</f>
        <v/>
      </c>
      <c r="F197" t="str">
        <f>_xlfn.XLOOKUP(LEFT(A197,2),SECTOR!$A$2:$A$88,SECTOR!$B$2:$B$88,"")</f>
        <v/>
      </c>
      <c r="G197" t="str">
        <f>_xlfn.XLOOKUP(LEFT(A197,3),INDUSTRY!$A$2:$A$259,INDUSTRY!$A$2:$A$259,"")</f>
        <v>239</v>
      </c>
      <c r="H197" t="str">
        <f>_xlfn.XLOOKUP(LEFT(A197,3),INDUSTRY!$A$2:$A$259,INDUSTRY!$B$2:$B$259,"")</f>
        <v>Manufacture of non-metallic mineral products n.e.c.</v>
      </c>
      <c r="I197" t="str">
        <f t="shared" si="6"/>
        <v/>
      </c>
      <c r="J197" t="str">
        <f t="shared" si="7"/>
        <v/>
      </c>
    </row>
    <row r="198" spans="1:10" x14ac:dyDescent="0.25">
      <c r="A198" t="s">
        <v>1206</v>
      </c>
      <c r="B198" t="s">
        <v>1207</v>
      </c>
      <c r="C198" t="s">
        <v>1012</v>
      </c>
      <c r="D198" t="str">
        <f>_xlfn.XLOOKUP(ISIC_Rev_5_english_structure__1[[#This Row],[Column4]],INDUSTRYGROUP!$C$2:$C$23,INDUSTRYGROUP!$D$2:$D$23,"NONE")</f>
        <v>Manufacturing</v>
      </c>
      <c r="E198" t="str">
        <f>_xlfn.XLOOKUP(LEFT(A198,2),SECTOR!$A$2:$A$88,SECTOR!$A$2:$A$88,"")</f>
        <v/>
      </c>
      <c r="F198" t="str">
        <f>_xlfn.XLOOKUP(LEFT(A198,2),SECTOR!$A$2:$A$88,SECTOR!$B$2:$B$88,"")</f>
        <v/>
      </c>
      <c r="G198" t="str">
        <f>_xlfn.XLOOKUP(LEFT(A198,3),INDUSTRY!$A$2:$A$259,INDUSTRY!$A$2:$A$259,"")</f>
        <v>239</v>
      </c>
      <c r="H198" t="str">
        <f>_xlfn.XLOOKUP(LEFT(A198,3),INDUSTRY!$A$2:$A$259,INDUSTRY!$B$2:$B$259,"")</f>
        <v>Manufacture of non-metallic mineral products n.e.c.</v>
      </c>
      <c r="I198" t="str">
        <f t="shared" si="6"/>
        <v>2391</v>
      </c>
      <c r="J198" t="str">
        <f t="shared" si="7"/>
        <v>Manufacture of refractory products</v>
      </c>
    </row>
    <row r="199" spans="1:10" x14ac:dyDescent="0.25">
      <c r="A199" t="s">
        <v>1208</v>
      </c>
      <c r="B199" t="s">
        <v>1209</v>
      </c>
      <c r="C199" t="s">
        <v>1012</v>
      </c>
      <c r="D199" t="str">
        <f>_xlfn.XLOOKUP(ISIC_Rev_5_english_structure__1[[#This Row],[Column4]],INDUSTRYGROUP!$C$2:$C$23,INDUSTRYGROUP!$D$2:$D$23,"NONE")</f>
        <v>Manufacturing</v>
      </c>
      <c r="E199" t="str">
        <f>_xlfn.XLOOKUP(LEFT(A199,2),SECTOR!$A$2:$A$88,SECTOR!$A$2:$A$88,"")</f>
        <v/>
      </c>
      <c r="F199" t="str">
        <f>_xlfn.XLOOKUP(LEFT(A199,2),SECTOR!$A$2:$A$88,SECTOR!$B$2:$B$88,"")</f>
        <v/>
      </c>
      <c r="G199" t="str">
        <f>_xlfn.XLOOKUP(LEFT(A199,3),INDUSTRY!$A$2:$A$259,INDUSTRY!$A$2:$A$259,"")</f>
        <v>239</v>
      </c>
      <c r="H199" t="str">
        <f>_xlfn.XLOOKUP(LEFT(A199,3),INDUSTRY!$A$2:$A$259,INDUSTRY!$B$2:$B$259,"")</f>
        <v>Manufacture of non-metallic mineral products n.e.c.</v>
      </c>
      <c r="I199" t="str">
        <f t="shared" si="6"/>
        <v>2392</v>
      </c>
      <c r="J199" t="str">
        <f t="shared" si="7"/>
        <v>Manufacture of clay building materials</v>
      </c>
    </row>
    <row r="200" spans="1:10" x14ac:dyDescent="0.25">
      <c r="A200" t="s">
        <v>1210</v>
      </c>
      <c r="B200" t="s">
        <v>1211</v>
      </c>
      <c r="C200" t="s">
        <v>1012</v>
      </c>
      <c r="D200" t="str">
        <f>_xlfn.XLOOKUP(ISIC_Rev_5_english_structure__1[[#This Row],[Column4]],INDUSTRYGROUP!$C$2:$C$23,INDUSTRYGROUP!$D$2:$D$23,"NONE")</f>
        <v>Manufacturing</v>
      </c>
      <c r="E200" t="str">
        <f>_xlfn.XLOOKUP(LEFT(A200,2),SECTOR!$A$2:$A$88,SECTOR!$A$2:$A$88,"")</f>
        <v/>
      </c>
      <c r="F200" t="str">
        <f>_xlfn.XLOOKUP(LEFT(A200,2),SECTOR!$A$2:$A$88,SECTOR!$B$2:$B$88,"")</f>
        <v/>
      </c>
      <c r="G200" t="str">
        <f>_xlfn.XLOOKUP(LEFT(A200,3),INDUSTRY!$A$2:$A$259,INDUSTRY!$A$2:$A$259,"")</f>
        <v>239</v>
      </c>
      <c r="H200" t="str">
        <f>_xlfn.XLOOKUP(LEFT(A200,3),INDUSTRY!$A$2:$A$259,INDUSTRY!$B$2:$B$259,"")</f>
        <v>Manufacture of non-metallic mineral products n.e.c.</v>
      </c>
      <c r="I200" t="str">
        <f t="shared" si="6"/>
        <v>2393</v>
      </c>
      <c r="J200" t="str">
        <f t="shared" si="7"/>
        <v>Manufacture of other porcelain and ceramic products</v>
      </c>
    </row>
    <row r="201" spans="1:10" x14ac:dyDescent="0.25">
      <c r="A201" t="s">
        <v>1212</v>
      </c>
      <c r="B201" t="s">
        <v>1213</v>
      </c>
      <c r="C201" t="s">
        <v>1012</v>
      </c>
      <c r="D201" t="str">
        <f>_xlfn.XLOOKUP(ISIC_Rev_5_english_structure__1[[#This Row],[Column4]],INDUSTRYGROUP!$C$2:$C$23,INDUSTRYGROUP!$D$2:$D$23,"NONE")</f>
        <v>Manufacturing</v>
      </c>
      <c r="E201" t="str">
        <f>_xlfn.XLOOKUP(LEFT(A201,2),SECTOR!$A$2:$A$88,SECTOR!$A$2:$A$88,"")</f>
        <v/>
      </c>
      <c r="F201" t="str">
        <f>_xlfn.XLOOKUP(LEFT(A201,2),SECTOR!$A$2:$A$88,SECTOR!$B$2:$B$88,"")</f>
        <v/>
      </c>
      <c r="G201" t="str">
        <f>_xlfn.XLOOKUP(LEFT(A201,3),INDUSTRY!$A$2:$A$259,INDUSTRY!$A$2:$A$259,"")</f>
        <v>239</v>
      </c>
      <c r="H201" t="str">
        <f>_xlfn.XLOOKUP(LEFT(A201,3),INDUSTRY!$A$2:$A$259,INDUSTRY!$B$2:$B$259,"")</f>
        <v>Manufacture of non-metallic mineral products n.e.c.</v>
      </c>
      <c r="I201" t="str">
        <f t="shared" si="6"/>
        <v>2394</v>
      </c>
      <c r="J201" t="str">
        <f t="shared" si="7"/>
        <v>Manufacture of cement, lime and plaster</v>
      </c>
    </row>
    <row r="202" spans="1:10" x14ac:dyDescent="0.25">
      <c r="A202" t="s">
        <v>1214</v>
      </c>
      <c r="B202" t="s">
        <v>1215</v>
      </c>
      <c r="C202" t="s">
        <v>1012</v>
      </c>
      <c r="D202" t="str">
        <f>_xlfn.XLOOKUP(ISIC_Rev_5_english_structure__1[[#This Row],[Column4]],INDUSTRYGROUP!$C$2:$C$23,INDUSTRYGROUP!$D$2:$D$23,"NONE")</f>
        <v>Manufacturing</v>
      </c>
      <c r="E202" t="str">
        <f>_xlfn.XLOOKUP(LEFT(A202,2),SECTOR!$A$2:$A$88,SECTOR!$A$2:$A$88,"")</f>
        <v/>
      </c>
      <c r="F202" t="str">
        <f>_xlfn.XLOOKUP(LEFT(A202,2),SECTOR!$A$2:$A$88,SECTOR!$B$2:$B$88,"")</f>
        <v/>
      </c>
      <c r="G202" t="str">
        <f>_xlfn.XLOOKUP(LEFT(A202,3),INDUSTRY!$A$2:$A$259,INDUSTRY!$A$2:$A$259,"")</f>
        <v>239</v>
      </c>
      <c r="H202" t="str">
        <f>_xlfn.XLOOKUP(LEFT(A202,3),INDUSTRY!$A$2:$A$259,INDUSTRY!$B$2:$B$259,"")</f>
        <v>Manufacture of non-metallic mineral products n.e.c.</v>
      </c>
      <c r="I202" t="str">
        <f t="shared" si="6"/>
        <v>2395</v>
      </c>
      <c r="J202" t="str">
        <f t="shared" si="7"/>
        <v>Manufacture of articles of concrete, cement and plaster</v>
      </c>
    </row>
    <row r="203" spans="1:10" x14ac:dyDescent="0.25">
      <c r="A203" t="s">
        <v>1216</v>
      </c>
      <c r="B203" t="s">
        <v>1217</v>
      </c>
      <c r="C203" t="s">
        <v>1012</v>
      </c>
      <c r="D203" t="str">
        <f>_xlfn.XLOOKUP(ISIC_Rev_5_english_structure__1[[#This Row],[Column4]],INDUSTRYGROUP!$C$2:$C$23,INDUSTRYGROUP!$D$2:$D$23,"NONE")</f>
        <v>Manufacturing</v>
      </c>
      <c r="E203" t="str">
        <f>_xlfn.XLOOKUP(LEFT(A203,2),SECTOR!$A$2:$A$88,SECTOR!$A$2:$A$88,"")</f>
        <v/>
      </c>
      <c r="F203" t="str">
        <f>_xlfn.XLOOKUP(LEFT(A203,2),SECTOR!$A$2:$A$88,SECTOR!$B$2:$B$88,"")</f>
        <v/>
      </c>
      <c r="G203" t="str">
        <f>_xlfn.XLOOKUP(LEFT(A203,3),INDUSTRY!$A$2:$A$259,INDUSTRY!$A$2:$A$259,"")</f>
        <v>239</v>
      </c>
      <c r="H203" t="str">
        <f>_xlfn.XLOOKUP(LEFT(A203,3),INDUSTRY!$A$2:$A$259,INDUSTRY!$B$2:$B$259,"")</f>
        <v>Manufacture of non-metallic mineral products n.e.c.</v>
      </c>
      <c r="I203" t="str">
        <f t="shared" si="6"/>
        <v>2396</v>
      </c>
      <c r="J203" t="str">
        <f t="shared" si="7"/>
        <v>Cutting, shaping and finishing of stone</v>
      </c>
    </row>
    <row r="204" spans="1:10" x14ac:dyDescent="0.25">
      <c r="A204" t="s">
        <v>1218</v>
      </c>
      <c r="B204" t="s">
        <v>1219</v>
      </c>
      <c r="C204" t="s">
        <v>1012</v>
      </c>
      <c r="D204" t="str">
        <f>_xlfn.XLOOKUP(ISIC_Rev_5_english_structure__1[[#This Row],[Column4]],INDUSTRYGROUP!$C$2:$C$23,INDUSTRYGROUP!$D$2:$D$23,"NONE")</f>
        <v>Manufacturing</v>
      </c>
      <c r="E204" t="str">
        <f>_xlfn.XLOOKUP(LEFT(A204,2),SECTOR!$A$2:$A$88,SECTOR!$A$2:$A$88,"")</f>
        <v/>
      </c>
      <c r="F204" t="str">
        <f>_xlfn.XLOOKUP(LEFT(A204,2),SECTOR!$A$2:$A$88,SECTOR!$B$2:$B$88,"")</f>
        <v/>
      </c>
      <c r="G204" t="str">
        <f>_xlfn.XLOOKUP(LEFT(A204,3),INDUSTRY!$A$2:$A$259,INDUSTRY!$A$2:$A$259,"")</f>
        <v>239</v>
      </c>
      <c r="H204" t="str">
        <f>_xlfn.XLOOKUP(LEFT(A204,3),INDUSTRY!$A$2:$A$259,INDUSTRY!$B$2:$B$259,"")</f>
        <v>Manufacture of non-metallic mineral products n.e.c.</v>
      </c>
      <c r="I204" t="str">
        <f t="shared" si="6"/>
        <v>2399</v>
      </c>
      <c r="J204" t="str">
        <f t="shared" si="7"/>
        <v>Manufacture of other non-metallic mineral products n.e.c.</v>
      </c>
    </row>
    <row r="205" spans="1:10" x14ac:dyDescent="0.25">
      <c r="A205" t="s">
        <v>1220</v>
      </c>
      <c r="B205" t="s">
        <v>1221</v>
      </c>
      <c r="C205" t="s">
        <v>1012</v>
      </c>
      <c r="D205" t="str">
        <f>_xlfn.XLOOKUP(ISIC_Rev_5_english_structure__1[[#This Row],[Column4]],INDUSTRYGROUP!$C$2:$C$23,INDUSTRYGROUP!$D$2:$D$23,"NONE")</f>
        <v>Manufacturing</v>
      </c>
      <c r="E205" t="str">
        <f>_xlfn.XLOOKUP(LEFT(A205,2),SECTOR!$A$2:$A$88,SECTOR!$A$2:$A$88,"")</f>
        <v/>
      </c>
      <c r="F205" t="str">
        <f>_xlfn.XLOOKUP(LEFT(A205,2),SECTOR!$A$2:$A$88,SECTOR!$B$2:$B$88,"")</f>
        <v/>
      </c>
      <c r="G205" t="str">
        <f>_xlfn.XLOOKUP(LEFT(A205,3),INDUSTRY!$A$2:$A$259,INDUSTRY!$A$2:$A$259,"")</f>
        <v/>
      </c>
      <c r="H205" t="str">
        <f>_xlfn.XLOOKUP(LEFT(A205,3),INDUSTRY!$A$2:$A$259,INDUSTRY!$B$2:$B$259,"")</f>
        <v/>
      </c>
      <c r="I205" t="str">
        <f t="shared" si="6"/>
        <v/>
      </c>
      <c r="J205" t="str">
        <f t="shared" si="7"/>
        <v/>
      </c>
    </row>
    <row r="206" spans="1:10" x14ac:dyDescent="0.25">
      <c r="A206" t="s">
        <v>1222</v>
      </c>
      <c r="B206" t="s">
        <v>1223</v>
      </c>
      <c r="C206" t="s">
        <v>1012</v>
      </c>
      <c r="D206" t="str">
        <f>_xlfn.XLOOKUP(ISIC_Rev_5_english_structure__1[[#This Row],[Column4]],INDUSTRYGROUP!$C$2:$C$23,INDUSTRYGROUP!$D$2:$D$23,"NONE")</f>
        <v>Manufacturing</v>
      </c>
      <c r="E206" t="str">
        <f>_xlfn.XLOOKUP(LEFT(A206,2),SECTOR!$A$2:$A$88,SECTOR!$A$2:$A$88,"")</f>
        <v/>
      </c>
      <c r="F206" t="str">
        <f>_xlfn.XLOOKUP(LEFT(A206,2),SECTOR!$A$2:$A$88,SECTOR!$B$2:$B$88,"")</f>
        <v/>
      </c>
      <c r="G206" t="str">
        <f>_xlfn.XLOOKUP(LEFT(A206,3),INDUSTRY!$A$2:$A$259,INDUSTRY!$A$2:$A$259,"")</f>
        <v>241</v>
      </c>
      <c r="H206" t="str">
        <f>_xlfn.XLOOKUP(LEFT(A206,3),INDUSTRY!$A$2:$A$259,INDUSTRY!$B$2:$B$259,"")</f>
        <v>Manufacture of basic iron and steel</v>
      </c>
      <c r="I206" t="str">
        <f t="shared" si="6"/>
        <v/>
      </c>
      <c r="J206" t="str">
        <f t="shared" si="7"/>
        <v/>
      </c>
    </row>
    <row r="207" spans="1:10" x14ac:dyDescent="0.25">
      <c r="A207" t="s">
        <v>1224</v>
      </c>
      <c r="B207" t="s">
        <v>1223</v>
      </c>
      <c r="C207" t="s">
        <v>1012</v>
      </c>
      <c r="D207" t="str">
        <f>_xlfn.XLOOKUP(ISIC_Rev_5_english_structure__1[[#This Row],[Column4]],INDUSTRYGROUP!$C$2:$C$23,INDUSTRYGROUP!$D$2:$D$23,"NONE")</f>
        <v>Manufacturing</v>
      </c>
      <c r="E207" t="str">
        <f>_xlfn.XLOOKUP(LEFT(A207,2),SECTOR!$A$2:$A$88,SECTOR!$A$2:$A$88,"")</f>
        <v/>
      </c>
      <c r="F207" t="str">
        <f>_xlfn.XLOOKUP(LEFT(A207,2),SECTOR!$A$2:$A$88,SECTOR!$B$2:$B$88,"")</f>
        <v/>
      </c>
      <c r="G207" t="str">
        <f>_xlfn.XLOOKUP(LEFT(A207,3),INDUSTRY!$A$2:$A$259,INDUSTRY!$A$2:$A$259,"")</f>
        <v>241</v>
      </c>
      <c r="H207" t="str">
        <f>_xlfn.XLOOKUP(LEFT(A207,3),INDUSTRY!$A$2:$A$259,INDUSTRY!$B$2:$B$259,"")</f>
        <v>Manufacture of basic iron and steel</v>
      </c>
      <c r="I207" t="str">
        <f t="shared" si="6"/>
        <v>2410</v>
      </c>
      <c r="J207" t="str">
        <f t="shared" si="7"/>
        <v>Manufacture of basic iron and steel</v>
      </c>
    </row>
    <row r="208" spans="1:10" x14ac:dyDescent="0.25">
      <c r="A208" t="s">
        <v>1225</v>
      </c>
      <c r="B208" t="s">
        <v>1226</v>
      </c>
      <c r="C208" t="s">
        <v>1012</v>
      </c>
      <c r="D208" t="str">
        <f>_xlfn.XLOOKUP(ISIC_Rev_5_english_structure__1[[#This Row],[Column4]],INDUSTRYGROUP!$C$2:$C$23,INDUSTRYGROUP!$D$2:$D$23,"NONE")</f>
        <v>Manufacturing</v>
      </c>
      <c r="E208" t="str">
        <f>_xlfn.XLOOKUP(LEFT(A208,2),SECTOR!$A$2:$A$88,SECTOR!$A$2:$A$88,"")</f>
        <v/>
      </c>
      <c r="F208" t="str">
        <f>_xlfn.XLOOKUP(LEFT(A208,2),SECTOR!$A$2:$A$88,SECTOR!$B$2:$B$88,"")</f>
        <v/>
      </c>
      <c r="G208" t="str">
        <f>_xlfn.XLOOKUP(LEFT(A208,3),INDUSTRY!$A$2:$A$259,INDUSTRY!$A$2:$A$259,"")</f>
        <v>242</v>
      </c>
      <c r="H208" t="str">
        <f>_xlfn.XLOOKUP(LEFT(A208,3),INDUSTRY!$A$2:$A$259,INDUSTRY!$B$2:$B$259,"")</f>
        <v>Manufacture of basic precious and other non-ferrous metals</v>
      </c>
      <c r="I208" t="str">
        <f t="shared" si="6"/>
        <v/>
      </c>
      <c r="J208" t="str">
        <f t="shared" si="7"/>
        <v/>
      </c>
    </row>
    <row r="209" spans="1:10" x14ac:dyDescent="0.25">
      <c r="A209" t="s">
        <v>1227</v>
      </c>
      <c r="B209" t="s">
        <v>1226</v>
      </c>
      <c r="C209" t="s">
        <v>1012</v>
      </c>
      <c r="D209" t="str">
        <f>_xlfn.XLOOKUP(ISIC_Rev_5_english_structure__1[[#This Row],[Column4]],INDUSTRYGROUP!$C$2:$C$23,INDUSTRYGROUP!$D$2:$D$23,"NONE")</f>
        <v>Manufacturing</v>
      </c>
      <c r="E209" t="str">
        <f>_xlfn.XLOOKUP(LEFT(A209,2),SECTOR!$A$2:$A$88,SECTOR!$A$2:$A$88,"")</f>
        <v/>
      </c>
      <c r="F209" t="str">
        <f>_xlfn.XLOOKUP(LEFT(A209,2),SECTOR!$A$2:$A$88,SECTOR!$B$2:$B$88,"")</f>
        <v/>
      </c>
      <c r="G209" t="str">
        <f>_xlfn.XLOOKUP(LEFT(A209,3),INDUSTRY!$A$2:$A$259,INDUSTRY!$A$2:$A$259,"")</f>
        <v>242</v>
      </c>
      <c r="H209" t="str">
        <f>_xlfn.XLOOKUP(LEFT(A209,3),INDUSTRY!$A$2:$A$259,INDUSTRY!$B$2:$B$259,"")</f>
        <v>Manufacture of basic precious and other non-ferrous metals</v>
      </c>
      <c r="I209" t="str">
        <f t="shared" si="6"/>
        <v>2420</v>
      </c>
      <c r="J209" t="str">
        <f t="shared" si="7"/>
        <v>Manufacture of basic precious and other non-ferrous metals</v>
      </c>
    </row>
    <row r="210" spans="1:10" x14ac:dyDescent="0.25">
      <c r="A210" t="s">
        <v>1228</v>
      </c>
      <c r="B210" t="s">
        <v>1229</v>
      </c>
      <c r="C210" t="s">
        <v>1012</v>
      </c>
      <c r="D210" t="str">
        <f>_xlfn.XLOOKUP(ISIC_Rev_5_english_structure__1[[#This Row],[Column4]],INDUSTRYGROUP!$C$2:$C$23,INDUSTRYGROUP!$D$2:$D$23,"NONE")</f>
        <v>Manufacturing</v>
      </c>
      <c r="E210" t="str">
        <f>_xlfn.XLOOKUP(LEFT(A210,2),SECTOR!$A$2:$A$88,SECTOR!$A$2:$A$88,"")</f>
        <v/>
      </c>
      <c r="F210" t="str">
        <f>_xlfn.XLOOKUP(LEFT(A210,2),SECTOR!$A$2:$A$88,SECTOR!$B$2:$B$88,"")</f>
        <v/>
      </c>
      <c r="G210" t="str">
        <f>_xlfn.XLOOKUP(LEFT(A210,3),INDUSTRY!$A$2:$A$259,INDUSTRY!$A$2:$A$259,"")</f>
        <v>243</v>
      </c>
      <c r="H210" t="str">
        <f>_xlfn.XLOOKUP(LEFT(A210,3),INDUSTRY!$A$2:$A$259,INDUSTRY!$B$2:$B$259,"")</f>
        <v>Casting of metals</v>
      </c>
      <c r="I210" t="str">
        <f t="shared" si="6"/>
        <v/>
      </c>
      <c r="J210" t="str">
        <f t="shared" si="7"/>
        <v/>
      </c>
    </row>
    <row r="211" spans="1:10" x14ac:dyDescent="0.25">
      <c r="A211" t="s">
        <v>1230</v>
      </c>
      <c r="B211" t="s">
        <v>1231</v>
      </c>
      <c r="C211" t="s">
        <v>1012</v>
      </c>
      <c r="D211" t="str">
        <f>_xlfn.XLOOKUP(ISIC_Rev_5_english_structure__1[[#This Row],[Column4]],INDUSTRYGROUP!$C$2:$C$23,INDUSTRYGROUP!$D$2:$D$23,"NONE")</f>
        <v>Manufacturing</v>
      </c>
      <c r="E211" t="str">
        <f>_xlfn.XLOOKUP(LEFT(A211,2),SECTOR!$A$2:$A$88,SECTOR!$A$2:$A$88,"")</f>
        <v/>
      </c>
      <c r="F211" t="str">
        <f>_xlfn.XLOOKUP(LEFT(A211,2),SECTOR!$A$2:$A$88,SECTOR!$B$2:$B$88,"")</f>
        <v/>
      </c>
      <c r="G211" t="str">
        <f>_xlfn.XLOOKUP(LEFT(A211,3),INDUSTRY!$A$2:$A$259,INDUSTRY!$A$2:$A$259,"")</f>
        <v>243</v>
      </c>
      <c r="H211" t="str">
        <f>_xlfn.XLOOKUP(LEFT(A211,3),INDUSTRY!$A$2:$A$259,INDUSTRY!$B$2:$B$259,"")</f>
        <v>Casting of metals</v>
      </c>
      <c r="I211" t="str">
        <f t="shared" si="6"/>
        <v>2431</v>
      </c>
      <c r="J211" t="str">
        <f t="shared" si="7"/>
        <v>Casting of iron and steel</v>
      </c>
    </row>
    <row r="212" spans="1:10" x14ac:dyDescent="0.25">
      <c r="A212" t="s">
        <v>1232</v>
      </c>
      <c r="B212" t="s">
        <v>1233</v>
      </c>
      <c r="C212" t="s">
        <v>1012</v>
      </c>
      <c r="D212" t="str">
        <f>_xlfn.XLOOKUP(ISIC_Rev_5_english_structure__1[[#This Row],[Column4]],INDUSTRYGROUP!$C$2:$C$23,INDUSTRYGROUP!$D$2:$D$23,"NONE")</f>
        <v>Manufacturing</v>
      </c>
      <c r="E212" t="str">
        <f>_xlfn.XLOOKUP(LEFT(A212,2),SECTOR!$A$2:$A$88,SECTOR!$A$2:$A$88,"")</f>
        <v/>
      </c>
      <c r="F212" t="str">
        <f>_xlfn.XLOOKUP(LEFT(A212,2),SECTOR!$A$2:$A$88,SECTOR!$B$2:$B$88,"")</f>
        <v/>
      </c>
      <c r="G212" t="str">
        <f>_xlfn.XLOOKUP(LEFT(A212,3),INDUSTRY!$A$2:$A$259,INDUSTRY!$A$2:$A$259,"")</f>
        <v>243</v>
      </c>
      <c r="H212" t="str">
        <f>_xlfn.XLOOKUP(LEFT(A212,3),INDUSTRY!$A$2:$A$259,INDUSTRY!$B$2:$B$259,"")</f>
        <v>Casting of metals</v>
      </c>
      <c r="I212" t="str">
        <f t="shared" si="6"/>
        <v>2432</v>
      </c>
      <c r="J212" t="str">
        <f t="shared" si="7"/>
        <v>Casting of non-ferrous metals</v>
      </c>
    </row>
    <row r="213" spans="1:10" x14ac:dyDescent="0.25">
      <c r="A213" t="s">
        <v>1234</v>
      </c>
      <c r="B213" t="s">
        <v>1235</v>
      </c>
      <c r="C213" t="s">
        <v>1012</v>
      </c>
      <c r="D213" t="str">
        <f>_xlfn.XLOOKUP(ISIC_Rev_5_english_structure__1[[#This Row],[Column4]],INDUSTRYGROUP!$C$2:$C$23,INDUSTRYGROUP!$D$2:$D$23,"NONE")</f>
        <v>Manufacturing</v>
      </c>
      <c r="E213" t="str">
        <f>_xlfn.XLOOKUP(LEFT(A213,2),SECTOR!$A$2:$A$88,SECTOR!$A$2:$A$88,"")</f>
        <v/>
      </c>
      <c r="F213" t="str">
        <f>_xlfn.XLOOKUP(LEFT(A213,2),SECTOR!$A$2:$A$88,SECTOR!$B$2:$B$88,"")</f>
        <v/>
      </c>
      <c r="G213" t="str">
        <f>_xlfn.XLOOKUP(LEFT(A213,3),INDUSTRY!$A$2:$A$259,INDUSTRY!$A$2:$A$259,"")</f>
        <v/>
      </c>
      <c r="H213" t="str">
        <f>_xlfn.XLOOKUP(LEFT(A213,3),INDUSTRY!$A$2:$A$259,INDUSTRY!$B$2:$B$259,"")</f>
        <v/>
      </c>
      <c r="I213" t="str">
        <f t="shared" si="6"/>
        <v/>
      </c>
      <c r="J213" t="str">
        <f t="shared" si="7"/>
        <v/>
      </c>
    </row>
    <row r="214" spans="1:10" x14ac:dyDescent="0.25">
      <c r="A214" t="s">
        <v>1236</v>
      </c>
      <c r="B214" t="s">
        <v>1237</v>
      </c>
      <c r="C214" t="s">
        <v>1012</v>
      </c>
      <c r="D214" t="str">
        <f>_xlfn.XLOOKUP(ISIC_Rev_5_english_structure__1[[#This Row],[Column4]],INDUSTRYGROUP!$C$2:$C$23,INDUSTRYGROUP!$D$2:$D$23,"NONE")</f>
        <v>Manufacturing</v>
      </c>
      <c r="E214" t="str">
        <f>_xlfn.XLOOKUP(LEFT(A214,2),SECTOR!$A$2:$A$88,SECTOR!$A$2:$A$88,"")</f>
        <v/>
      </c>
      <c r="F214" t="str">
        <f>_xlfn.XLOOKUP(LEFT(A214,2),SECTOR!$A$2:$A$88,SECTOR!$B$2:$B$88,"")</f>
        <v/>
      </c>
      <c r="G214" t="str">
        <f>_xlfn.XLOOKUP(LEFT(A214,3),INDUSTRY!$A$2:$A$259,INDUSTRY!$A$2:$A$259,"")</f>
        <v>251</v>
      </c>
      <c r="H214" t="str">
        <f>_xlfn.XLOOKUP(LEFT(A214,3),INDUSTRY!$A$2:$A$259,INDUSTRY!$B$2:$B$259,"")</f>
        <v>Manufacture of structural metal products, tanks, reservoirs and steam generators</v>
      </c>
      <c r="I214" t="str">
        <f t="shared" si="6"/>
        <v/>
      </c>
      <c r="J214" t="str">
        <f t="shared" si="7"/>
        <v/>
      </c>
    </row>
    <row r="215" spans="1:10" x14ac:dyDescent="0.25">
      <c r="A215" t="s">
        <v>1238</v>
      </c>
      <c r="B215" t="s">
        <v>1239</v>
      </c>
      <c r="C215" t="s">
        <v>1012</v>
      </c>
      <c r="D215" t="str">
        <f>_xlfn.XLOOKUP(ISIC_Rev_5_english_structure__1[[#This Row],[Column4]],INDUSTRYGROUP!$C$2:$C$23,INDUSTRYGROUP!$D$2:$D$23,"NONE")</f>
        <v>Manufacturing</v>
      </c>
      <c r="E215" t="str">
        <f>_xlfn.XLOOKUP(LEFT(A215,2),SECTOR!$A$2:$A$88,SECTOR!$A$2:$A$88,"")</f>
        <v/>
      </c>
      <c r="F215" t="str">
        <f>_xlfn.XLOOKUP(LEFT(A215,2),SECTOR!$A$2:$A$88,SECTOR!$B$2:$B$88,"")</f>
        <v/>
      </c>
      <c r="G215" t="str">
        <f>_xlfn.XLOOKUP(LEFT(A215,3),INDUSTRY!$A$2:$A$259,INDUSTRY!$A$2:$A$259,"")</f>
        <v>251</v>
      </c>
      <c r="H215" t="str">
        <f>_xlfn.XLOOKUP(LEFT(A215,3),INDUSTRY!$A$2:$A$259,INDUSTRY!$B$2:$B$259,"")</f>
        <v>Manufacture of structural metal products, tanks, reservoirs and steam generators</v>
      </c>
      <c r="I215" t="str">
        <f t="shared" si="6"/>
        <v>2511</v>
      </c>
      <c r="J215" t="str">
        <f t="shared" si="7"/>
        <v>Manufacture of structural metal products</v>
      </c>
    </row>
    <row r="216" spans="1:10" x14ac:dyDescent="0.25">
      <c r="A216" t="s">
        <v>1240</v>
      </c>
      <c r="B216" t="s">
        <v>1241</v>
      </c>
      <c r="C216" t="s">
        <v>1012</v>
      </c>
      <c r="D216" t="str">
        <f>_xlfn.XLOOKUP(ISIC_Rev_5_english_structure__1[[#This Row],[Column4]],INDUSTRYGROUP!$C$2:$C$23,INDUSTRYGROUP!$D$2:$D$23,"NONE")</f>
        <v>Manufacturing</v>
      </c>
      <c r="E216" t="str">
        <f>_xlfn.XLOOKUP(LEFT(A216,2),SECTOR!$A$2:$A$88,SECTOR!$A$2:$A$88,"")</f>
        <v/>
      </c>
      <c r="F216" t="str">
        <f>_xlfn.XLOOKUP(LEFT(A216,2),SECTOR!$A$2:$A$88,SECTOR!$B$2:$B$88,"")</f>
        <v/>
      </c>
      <c r="G216" t="str">
        <f>_xlfn.XLOOKUP(LEFT(A216,3),INDUSTRY!$A$2:$A$259,INDUSTRY!$A$2:$A$259,"")</f>
        <v>251</v>
      </c>
      <c r="H216" t="str">
        <f>_xlfn.XLOOKUP(LEFT(A216,3),INDUSTRY!$A$2:$A$259,INDUSTRY!$B$2:$B$259,"")</f>
        <v>Manufacture of structural metal products, tanks, reservoirs and steam generators</v>
      </c>
      <c r="I216" t="str">
        <f t="shared" si="6"/>
        <v>2512</v>
      </c>
      <c r="J216" t="str">
        <f t="shared" si="7"/>
        <v>Manufacture of tanks, reservoirs and containers of metal</v>
      </c>
    </row>
    <row r="217" spans="1:10" x14ac:dyDescent="0.25">
      <c r="A217" t="s">
        <v>1242</v>
      </c>
      <c r="B217" t="s">
        <v>1243</v>
      </c>
      <c r="C217" t="s">
        <v>1012</v>
      </c>
      <c r="D217" t="str">
        <f>_xlfn.XLOOKUP(ISIC_Rev_5_english_structure__1[[#This Row],[Column4]],INDUSTRYGROUP!$C$2:$C$23,INDUSTRYGROUP!$D$2:$D$23,"NONE")</f>
        <v>Manufacturing</v>
      </c>
      <c r="E217" t="str">
        <f>_xlfn.XLOOKUP(LEFT(A217,2),SECTOR!$A$2:$A$88,SECTOR!$A$2:$A$88,"")</f>
        <v/>
      </c>
      <c r="F217" t="str">
        <f>_xlfn.XLOOKUP(LEFT(A217,2),SECTOR!$A$2:$A$88,SECTOR!$B$2:$B$88,"")</f>
        <v/>
      </c>
      <c r="G217" t="str">
        <f>_xlfn.XLOOKUP(LEFT(A217,3),INDUSTRY!$A$2:$A$259,INDUSTRY!$A$2:$A$259,"")</f>
        <v>251</v>
      </c>
      <c r="H217" t="str">
        <f>_xlfn.XLOOKUP(LEFT(A217,3),INDUSTRY!$A$2:$A$259,INDUSTRY!$B$2:$B$259,"")</f>
        <v>Manufacture of structural metal products, tanks, reservoirs and steam generators</v>
      </c>
      <c r="I217" t="str">
        <f t="shared" si="6"/>
        <v>2513</v>
      </c>
      <c r="J217" t="str">
        <f t="shared" si="7"/>
        <v>Manufacture of steam generators, except central heating hot water boilers</v>
      </c>
    </row>
    <row r="218" spans="1:10" x14ac:dyDescent="0.25">
      <c r="A218" t="s">
        <v>1244</v>
      </c>
      <c r="B218" t="s">
        <v>1245</v>
      </c>
      <c r="C218" t="s">
        <v>1012</v>
      </c>
      <c r="D218" t="str">
        <f>_xlfn.XLOOKUP(ISIC_Rev_5_english_structure__1[[#This Row],[Column4]],INDUSTRYGROUP!$C$2:$C$23,INDUSTRYGROUP!$D$2:$D$23,"NONE")</f>
        <v>Manufacturing</v>
      </c>
      <c r="E218" t="str">
        <f>_xlfn.XLOOKUP(LEFT(A218,2),SECTOR!$A$2:$A$88,SECTOR!$A$2:$A$88,"")</f>
        <v/>
      </c>
      <c r="F218" t="str">
        <f>_xlfn.XLOOKUP(LEFT(A218,2),SECTOR!$A$2:$A$88,SECTOR!$B$2:$B$88,"")</f>
        <v/>
      </c>
      <c r="G218" t="str">
        <f>_xlfn.XLOOKUP(LEFT(A218,3),INDUSTRY!$A$2:$A$259,INDUSTRY!$A$2:$A$259,"")</f>
        <v>252</v>
      </c>
      <c r="H218" t="str">
        <f>_xlfn.XLOOKUP(LEFT(A218,3),INDUSTRY!$A$2:$A$259,INDUSTRY!$B$2:$B$259,"")</f>
        <v>Manufacture of weapons and ammunition</v>
      </c>
      <c r="I218" t="str">
        <f t="shared" si="6"/>
        <v/>
      </c>
      <c r="J218" t="str">
        <f t="shared" si="7"/>
        <v/>
      </c>
    </row>
    <row r="219" spans="1:10" x14ac:dyDescent="0.25">
      <c r="A219" t="s">
        <v>1246</v>
      </c>
      <c r="B219" t="s">
        <v>1245</v>
      </c>
      <c r="C219" t="s">
        <v>1012</v>
      </c>
      <c r="D219" t="str">
        <f>_xlfn.XLOOKUP(ISIC_Rev_5_english_structure__1[[#This Row],[Column4]],INDUSTRYGROUP!$C$2:$C$23,INDUSTRYGROUP!$D$2:$D$23,"NONE")</f>
        <v>Manufacturing</v>
      </c>
      <c r="E219" t="str">
        <f>_xlfn.XLOOKUP(LEFT(A219,2),SECTOR!$A$2:$A$88,SECTOR!$A$2:$A$88,"")</f>
        <v/>
      </c>
      <c r="F219" t="str">
        <f>_xlfn.XLOOKUP(LEFT(A219,2),SECTOR!$A$2:$A$88,SECTOR!$B$2:$B$88,"")</f>
        <v/>
      </c>
      <c r="G219" t="str">
        <f>_xlfn.XLOOKUP(LEFT(A219,3),INDUSTRY!$A$2:$A$259,INDUSTRY!$A$2:$A$259,"")</f>
        <v>252</v>
      </c>
      <c r="H219" t="str">
        <f>_xlfn.XLOOKUP(LEFT(A219,3),INDUSTRY!$A$2:$A$259,INDUSTRY!$B$2:$B$259,"")</f>
        <v>Manufacture of weapons and ammunition</v>
      </c>
      <c r="I219" t="str">
        <f t="shared" si="6"/>
        <v>2520</v>
      </c>
      <c r="J219" t="str">
        <f t="shared" si="7"/>
        <v>Manufacture of weapons and ammunition</v>
      </c>
    </row>
    <row r="220" spans="1:10" x14ac:dyDescent="0.25">
      <c r="A220" t="s">
        <v>1247</v>
      </c>
      <c r="B220" t="s">
        <v>1248</v>
      </c>
      <c r="C220" t="s">
        <v>1012</v>
      </c>
      <c r="D220" t="str">
        <f>_xlfn.XLOOKUP(ISIC_Rev_5_english_structure__1[[#This Row],[Column4]],INDUSTRYGROUP!$C$2:$C$23,INDUSTRYGROUP!$D$2:$D$23,"NONE")</f>
        <v>Manufacturing</v>
      </c>
      <c r="E220" t="str">
        <f>_xlfn.XLOOKUP(LEFT(A220,2),SECTOR!$A$2:$A$88,SECTOR!$A$2:$A$88,"")</f>
        <v/>
      </c>
      <c r="F220" t="str">
        <f>_xlfn.XLOOKUP(LEFT(A220,2),SECTOR!$A$2:$A$88,SECTOR!$B$2:$B$88,"")</f>
        <v/>
      </c>
      <c r="G220" t="str">
        <f>_xlfn.XLOOKUP(LEFT(A220,3),INDUSTRY!$A$2:$A$259,INDUSTRY!$A$2:$A$259,"")</f>
        <v>259</v>
      </c>
      <c r="H220" t="str">
        <f>_xlfn.XLOOKUP(LEFT(A220,3),INDUSTRY!$A$2:$A$259,INDUSTRY!$B$2:$B$259,"")</f>
        <v>Manufacture of other fabricated metal products; metalworking service activities</v>
      </c>
      <c r="I220" t="str">
        <f t="shared" si="6"/>
        <v/>
      </c>
      <c r="J220" t="str">
        <f t="shared" si="7"/>
        <v/>
      </c>
    </row>
    <row r="221" spans="1:10" x14ac:dyDescent="0.25">
      <c r="A221" t="s">
        <v>1249</v>
      </c>
      <c r="B221" t="s">
        <v>1250</v>
      </c>
      <c r="C221" t="s">
        <v>1012</v>
      </c>
      <c r="D221" t="str">
        <f>_xlfn.XLOOKUP(ISIC_Rev_5_english_structure__1[[#This Row],[Column4]],INDUSTRYGROUP!$C$2:$C$23,INDUSTRYGROUP!$D$2:$D$23,"NONE")</f>
        <v>Manufacturing</v>
      </c>
      <c r="E221" t="str">
        <f>_xlfn.XLOOKUP(LEFT(A221,2),SECTOR!$A$2:$A$88,SECTOR!$A$2:$A$88,"")</f>
        <v/>
      </c>
      <c r="F221" t="str">
        <f>_xlfn.XLOOKUP(LEFT(A221,2),SECTOR!$A$2:$A$88,SECTOR!$B$2:$B$88,"")</f>
        <v/>
      </c>
      <c r="G221" t="str">
        <f>_xlfn.XLOOKUP(LEFT(A221,3),INDUSTRY!$A$2:$A$259,INDUSTRY!$A$2:$A$259,"")</f>
        <v>259</v>
      </c>
      <c r="H221" t="str">
        <f>_xlfn.XLOOKUP(LEFT(A221,3),INDUSTRY!$A$2:$A$259,INDUSTRY!$B$2:$B$259,"")</f>
        <v>Manufacture of other fabricated metal products; metalworking service activities</v>
      </c>
      <c r="I221" t="str">
        <f t="shared" si="6"/>
        <v>2591</v>
      </c>
      <c r="J221" t="str">
        <f t="shared" si="7"/>
        <v>Forging, pressing, stamping and roll-forming of metal; powder metallurgy</v>
      </c>
    </row>
    <row r="222" spans="1:10" x14ac:dyDescent="0.25">
      <c r="A222" t="s">
        <v>1251</v>
      </c>
      <c r="B222" t="s">
        <v>1252</v>
      </c>
      <c r="C222" t="s">
        <v>1012</v>
      </c>
      <c r="D222" t="str">
        <f>_xlfn.XLOOKUP(ISIC_Rev_5_english_structure__1[[#This Row],[Column4]],INDUSTRYGROUP!$C$2:$C$23,INDUSTRYGROUP!$D$2:$D$23,"NONE")</f>
        <v>Manufacturing</v>
      </c>
      <c r="E222" t="str">
        <f>_xlfn.XLOOKUP(LEFT(A222,2),SECTOR!$A$2:$A$88,SECTOR!$A$2:$A$88,"")</f>
        <v/>
      </c>
      <c r="F222" t="str">
        <f>_xlfn.XLOOKUP(LEFT(A222,2),SECTOR!$A$2:$A$88,SECTOR!$B$2:$B$88,"")</f>
        <v/>
      </c>
      <c r="G222" t="str">
        <f>_xlfn.XLOOKUP(LEFT(A222,3),INDUSTRY!$A$2:$A$259,INDUSTRY!$A$2:$A$259,"")</f>
        <v>259</v>
      </c>
      <c r="H222" t="str">
        <f>_xlfn.XLOOKUP(LEFT(A222,3),INDUSTRY!$A$2:$A$259,INDUSTRY!$B$2:$B$259,"")</f>
        <v>Manufacture of other fabricated metal products; metalworking service activities</v>
      </c>
      <c r="I222" t="str">
        <f t="shared" si="6"/>
        <v>2592</v>
      </c>
      <c r="J222" t="str">
        <f t="shared" si="7"/>
        <v>Treatment and coating of metals; machining</v>
      </c>
    </row>
    <row r="223" spans="1:10" x14ac:dyDescent="0.25">
      <c r="A223" t="s">
        <v>1253</v>
      </c>
      <c r="B223" t="s">
        <v>1254</v>
      </c>
      <c r="C223" t="s">
        <v>1012</v>
      </c>
      <c r="D223" t="str">
        <f>_xlfn.XLOOKUP(ISIC_Rev_5_english_structure__1[[#This Row],[Column4]],INDUSTRYGROUP!$C$2:$C$23,INDUSTRYGROUP!$D$2:$D$23,"NONE")</f>
        <v>Manufacturing</v>
      </c>
      <c r="E223" t="str">
        <f>_xlfn.XLOOKUP(LEFT(A223,2),SECTOR!$A$2:$A$88,SECTOR!$A$2:$A$88,"")</f>
        <v/>
      </c>
      <c r="F223" t="str">
        <f>_xlfn.XLOOKUP(LEFT(A223,2),SECTOR!$A$2:$A$88,SECTOR!$B$2:$B$88,"")</f>
        <v/>
      </c>
      <c r="G223" t="str">
        <f>_xlfn.XLOOKUP(LEFT(A223,3),INDUSTRY!$A$2:$A$259,INDUSTRY!$A$2:$A$259,"")</f>
        <v>259</v>
      </c>
      <c r="H223" t="str">
        <f>_xlfn.XLOOKUP(LEFT(A223,3),INDUSTRY!$A$2:$A$259,INDUSTRY!$B$2:$B$259,"")</f>
        <v>Manufacture of other fabricated metal products; metalworking service activities</v>
      </c>
      <c r="I223" t="str">
        <f t="shared" si="6"/>
        <v>2593</v>
      </c>
      <c r="J223" t="str">
        <f t="shared" si="7"/>
        <v>Manufacture of cutlery, hand tools and general hardware</v>
      </c>
    </row>
    <row r="224" spans="1:10" x14ac:dyDescent="0.25">
      <c r="A224" t="s">
        <v>1255</v>
      </c>
      <c r="B224" t="s">
        <v>1256</v>
      </c>
      <c r="C224" t="s">
        <v>1012</v>
      </c>
      <c r="D224" t="str">
        <f>_xlfn.XLOOKUP(ISIC_Rev_5_english_structure__1[[#This Row],[Column4]],INDUSTRYGROUP!$C$2:$C$23,INDUSTRYGROUP!$D$2:$D$23,"NONE")</f>
        <v>Manufacturing</v>
      </c>
      <c r="E224" t="str">
        <f>_xlfn.XLOOKUP(LEFT(A224,2),SECTOR!$A$2:$A$88,SECTOR!$A$2:$A$88,"")</f>
        <v/>
      </c>
      <c r="F224" t="str">
        <f>_xlfn.XLOOKUP(LEFT(A224,2),SECTOR!$A$2:$A$88,SECTOR!$B$2:$B$88,"")</f>
        <v/>
      </c>
      <c r="G224" t="str">
        <f>_xlfn.XLOOKUP(LEFT(A224,3),INDUSTRY!$A$2:$A$259,INDUSTRY!$A$2:$A$259,"")</f>
        <v>259</v>
      </c>
      <c r="H224" t="str">
        <f>_xlfn.XLOOKUP(LEFT(A224,3),INDUSTRY!$A$2:$A$259,INDUSTRY!$B$2:$B$259,"")</f>
        <v>Manufacture of other fabricated metal products; metalworking service activities</v>
      </c>
      <c r="I224" t="str">
        <f t="shared" si="6"/>
        <v>2599</v>
      </c>
      <c r="J224" t="str">
        <f t="shared" si="7"/>
        <v>Manufacture of other fabricated metal products n.e.c.</v>
      </c>
    </row>
    <row r="225" spans="1:10" x14ac:dyDescent="0.25">
      <c r="A225" t="s">
        <v>1257</v>
      </c>
      <c r="B225" t="s">
        <v>1258</v>
      </c>
      <c r="C225" t="s">
        <v>1012</v>
      </c>
      <c r="D225" t="str">
        <f>_xlfn.XLOOKUP(ISIC_Rev_5_english_structure__1[[#This Row],[Column4]],INDUSTRYGROUP!$C$2:$C$23,INDUSTRYGROUP!$D$2:$D$23,"NONE")</f>
        <v>Manufacturing</v>
      </c>
      <c r="E225" t="str">
        <f>_xlfn.XLOOKUP(LEFT(A225,2),SECTOR!$A$2:$A$88,SECTOR!$A$2:$A$88,"")</f>
        <v/>
      </c>
      <c r="F225" t="str">
        <f>_xlfn.XLOOKUP(LEFT(A225,2),SECTOR!$A$2:$A$88,SECTOR!$B$2:$B$88,"")</f>
        <v/>
      </c>
      <c r="G225" t="str">
        <f>_xlfn.XLOOKUP(LEFT(A225,3),INDUSTRY!$A$2:$A$259,INDUSTRY!$A$2:$A$259,"")</f>
        <v/>
      </c>
      <c r="H225" t="str">
        <f>_xlfn.XLOOKUP(LEFT(A225,3),INDUSTRY!$A$2:$A$259,INDUSTRY!$B$2:$B$259,"")</f>
        <v/>
      </c>
      <c r="I225" t="str">
        <f t="shared" si="6"/>
        <v/>
      </c>
      <c r="J225" t="str">
        <f t="shared" si="7"/>
        <v/>
      </c>
    </row>
    <row r="226" spans="1:10" x14ac:dyDescent="0.25">
      <c r="A226" t="s">
        <v>1259</v>
      </c>
      <c r="B226" t="s">
        <v>1260</v>
      </c>
      <c r="C226" t="s">
        <v>1012</v>
      </c>
      <c r="D226" t="str">
        <f>_xlfn.XLOOKUP(ISIC_Rev_5_english_structure__1[[#This Row],[Column4]],INDUSTRYGROUP!$C$2:$C$23,INDUSTRYGROUP!$D$2:$D$23,"NONE")</f>
        <v>Manufacturing</v>
      </c>
      <c r="E226" t="str">
        <f>_xlfn.XLOOKUP(LEFT(A226,2),SECTOR!$A$2:$A$88,SECTOR!$A$2:$A$88,"")</f>
        <v/>
      </c>
      <c r="F226" t="str">
        <f>_xlfn.XLOOKUP(LEFT(A226,2),SECTOR!$A$2:$A$88,SECTOR!$B$2:$B$88,"")</f>
        <v/>
      </c>
      <c r="G226" t="str">
        <f>_xlfn.XLOOKUP(LEFT(A226,3),INDUSTRY!$A$2:$A$259,INDUSTRY!$A$2:$A$259,"")</f>
        <v>261</v>
      </c>
      <c r="H226" t="str">
        <f>_xlfn.XLOOKUP(LEFT(A226,3),INDUSTRY!$A$2:$A$259,INDUSTRY!$B$2:$B$259,"")</f>
        <v>Manufacture of electronic components and boards</v>
      </c>
      <c r="I226" t="str">
        <f t="shared" si="6"/>
        <v/>
      </c>
      <c r="J226" t="str">
        <f t="shared" si="7"/>
        <v/>
      </c>
    </row>
    <row r="227" spans="1:10" x14ac:dyDescent="0.25">
      <c r="A227" t="s">
        <v>1261</v>
      </c>
      <c r="B227" t="s">
        <v>1262</v>
      </c>
      <c r="C227" t="s">
        <v>1012</v>
      </c>
      <c r="D227" t="str">
        <f>_xlfn.XLOOKUP(ISIC_Rev_5_english_structure__1[[#This Row],[Column4]],INDUSTRYGROUP!$C$2:$C$23,INDUSTRYGROUP!$D$2:$D$23,"NONE")</f>
        <v>Manufacturing</v>
      </c>
      <c r="E227" t="str">
        <f>_xlfn.XLOOKUP(LEFT(A227,2),SECTOR!$A$2:$A$88,SECTOR!$A$2:$A$88,"")</f>
        <v/>
      </c>
      <c r="F227" t="str">
        <f>_xlfn.XLOOKUP(LEFT(A227,2),SECTOR!$A$2:$A$88,SECTOR!$B$2:$B$88,"")</f>
        <v/>
      </c>
      <c r="G227" t="str">
        <f>_xlfn.XLOOKUP(LEFT(A227,3),INDUSTRY!$A$2:$A$259,INDUSTRY!$A$2:$A$259,"")</f>
        <v>261</v>
      </c>
      <c r="H227" t="str">
        <f>_xlfn.XLOOKUP(LEFT(A227,3),INDUSTRY!$A$2:$A$259,INDUSTRY!$B$2:$B$259,"")</f>
        <v>Manufacture of electronic components and boards</v>
      </c>
      <c r="I227" t="str">
        <f t="shared" si="6"/>
        <v>2611</v>
      </c>
      <c r="J227" t="str">
        <f t="shared" si="7"/>
        <v>Manufacture of solar cells, solar panels and photovoltaic inverters</v>
      </c>
    </row>
    <row r="228" spans="1:10" x14ac:dyDescent="0.25">
      <c r="A228" t="s">
        <v>1263</v>
      </c>
      <c r="B228" t="s">
        <v>1264</v>
      </c>
      <c r="C228" t="s">
        <v>1012</v>
      </c>
      <c r="D228" t="str">
        <f>_xlfn.XLOOKUP(ISIC_Rev_5_english_structure__1[[#This Row],[Column4]],INDUSTRYGROUP!$C$2:$C$23,INDUSTRYGROUP!$D$2:$D$23,"NONE")</f>
        <v>Manufacturing</v>
      </c>
      <c r="E228" t="str">
        <f>_xlfn.XLOOKUP(LEFT(A228,2),SECTOR!$A$2:$A$88,SECTOR!$A$2:$A$88,"")</f>
        <v/>
      </c>
      <c r="F228" t="str">
        <f>_xlfn.XLOOKUP(LEFT(A228,2),SECTOR!$A$2:$A$88,SECTOR!$B$2:$B$88,"")</f>
        <v/>
      </c>
      <c r="G228" t="str">
        <f>_xlfn.XLOOKUP(LEFT(A228,3),INDUSTRY!$A$2:$A$259,INDUSTRY!$A$2:$A$259,"")</f>
        <v>261</v>
      </c>
      <c r="H228" t="str">
        <f>_xlfn.XLOOKUP(LEFT(A228,3),INDUSTRY!$A$2:$A$259,INDUSTRY!$B$2:$B$259,"")</f>
        <v>Manufacture of electronic components and boards</v>
      </c>
      <c r="I228" t="str">
        <f t="shared" si="6"/>
        <v>2619</v>
      </c>
      <c r="J228" t="str">
        <f t="shared" si="7"/>
        <v>Manufacture of other electronic components and boards</v>
      </c>
    </row>
    <row r="229" spans="1:10" x14ac:dyDescent="0.25">
      <c r="A229" t="s">
        <v>1265</v>
      </c>
      <c r="B229" t="s">
        <v>1266</v>
      </c>
      <c r="C229" t="s">
        <v>1012</v>
      </c>
      <c r="D229" t="str">
        <f>_xlfn.XLOOKUP(ISIC_Rev_5_english_structure__1[[#This Row],[Column4]],INDUSTRYGROUP!$C$2:$C$23,INDUSTRYGROUP!$D$2:$D$23,"NONE")</f>
        <v>Manufacturing</v>
      </c>
      <c r="E229" t="str">
        <f>_xlfn.XLOOKUP(LEFT(A229,2),SECTOR!$A$2:$A$88,SECTOR!$A$2:$A$88,"")</f>
        <v/>
      </c>
      <c r="F229" t="str">
        <f>_xlfn.XLOOKUP(LEFT(A229,2),SECTOR!$A$2:$A$88,SECTOR!$B$2:$B$88,"")</f>
        <v/>
      </c>
      <c r="G229" t="str">
        <f>_xlfn.XLOOKUP(LEFT(A229,3),INDUSTRY!$A$2:$A$259,INDUSTRY!$A$2:$A$259,"")</f>
        <v>262</v>
      </c>
      <c r="H229" t="str">
        <f>_xlfn.XLOOKUP(LEFT(A229,3),INDUSTRY!$A$2:$A$259,INDUSTRY!$B$2:$B$259,"")</f>
        <v>Manufacture of computers and peripheral equipment</v>
      </c>
      <c r="I229" t="str">
        <f t="shared" si="6"/>
        <v/>
      </c>
      <c r="J229" t="str">
        <f t="shared" si="7"/>
        <v/>
      </c>
    </row>
    <row r="230" spans="1:10" x14ac:dyDescent="0.25">
      <c r="A230" t="s">
        <v>1267</v>
      </c>
      <c r="B230" t="s">
        <v>1266</v>
      </c>
      <c r="C230" t="s">
        <v>1012</v>
      </c>
      <c r="D230" t="str">
        <f>_xlfn.XLOOKUP(ISIC_Rev_5_english_structure__1[[#This Row],[Column4]],INDUSTRYGROUP!$C$2:$C$23,INDUSTRYGROUP!$D$2:$D$23,"NONE")</f>
        <v>Manufacturing</v>
      </c>
      <c r="E230" t="str">
        <f>_xlfn.XLOOKUP(LEFT(A230,2),SECTOR!$A$2:$A$88,SECTOR!$A$2:$A$88,"")</f>
        <v/>
      </c>
      <c r="F230" t="str">
        <f>_xlfn.XLOOKUP(LEFT(A230,2),SECTOR!$A$2:$A$88,SECTOR!$B$2:$B$88,"")</f>
        <v/>
      </c>
      <c r="G230" t="str">
        <f>_xlfn.XLOOKUP(LEFT(A230,3),INDUSTRY!$A$2:$A$259,INDUSTRY!$A$2:$A$259,"")</f>
        <v>262</v>
      </c>
      <c r="H230" t="str">
        <f>_xlfn.XLOOKUP(LEFT(A230,3),INDUSTRY!$A$2:$A$259,INDUSTRY!$B$2:$B$259,"")</f>
        <v>Manufacture of computers and peripheral equipment</v>
      </c>
      <c r="I230" t="str">
        <f t="shared" si="6"/>
        <v>2620</v>
      </c>
      <c r="J230" t="str">
        <f t="shared" si="7"/>
        <v>Manufacture of computers and peripheral equipment</v>
      </c>
    </row>
    <row r="231" spans="1:10" x14ac:dyDescent="0.25">
      <c r="A231" t="s">
        <v>1268</v>
      </c>
      <c r="B231" t="s">
        <v>1269</v>
      </c>
      <c r="C231" t="s">
        <v>1012</v>
      </c>
      <c r="D231" t="str">
        <f>_xlfn.XLOOKUP(ISIC_Rev_5_english_structure__1[[#This Row],[Column4]],INDUSTRYGROUP!$C$2:$C$23,INDUSTRYGROUP!$D$2:$D$23,"NONE")</f>
        <v>Manufacturing</v>
      </c>
      <c r="E231" t="str">
        <f>_xlfn.XLOOKUP(LEFT(A231,2),SECTOR!$A$2:$A$88,SECTOR!$A$2:$A$88,"")</f>
        <v/>
      </c>
      <c r="F231" t="str">
        <f>_xlfn.XLOOKUP(LEFT(A231,2),SECTOR!$A$2:$A$88,SECTOR!$B$2:$B$88,"")</f>
        <v/>
      </c>
      <c r="G231" t="str">
        <f>_xlfn.XLOOKUP(LEFT(A231,3),INDUSTRY!$A$2:$A$259,INDUSTRY!$A$2:$A$259,"")</f>
        <v>263</v>
      </c>
      <c r="H231" t="str">
        <f>_xlfn.XLOOKUP(LEFT(A231,3),INDUSTRY!$A$2:$A$259,INDUSTRY!$B$2:$B$259,"")</f>
        <v>Manufacture of communication equipment</v>
      </c>
      <c r="I231" t="str">
        <f t="shared" si="6"/>
        <v/>
      </c>
      <c r="J231" t="str">
        <f t="shared" si="7"/>
        <v/>
      </c>
    </row>
    <row r="232" spans="1:10" x14ac:dyDescent="0.25">
      <c r="A232" t="s">
        <v>1270</v>
      </c>
      <c r="B232" t="s">
        <v>1269</v>
      </c>
      <c r="C232" t="s">
        <v>1012</v>
      </c>
      <c r="D232" t="str">
        <f>_xlfn.XLOOKUP(ISIC_Rev_5_english_structure__1[[#This Row],[Column4]],INDUSTRYGROUP!$C$2:$C$23,INDUSTRYGROUP!$D$2:$D$23,"NONE")</f>
        <v>Manufacturing</v>
      </c>
      <c r="E232" t="str">
        <f>_xlfn.XLOOKUP(LEFT(A232,2),SECTOR!$A$2:$A$88,SECTOR!$A$2:$A$88,"")</f>
        <v/>
      </c>
      <c r="F232" t="str">
        <f>_xlfn.XLOOKUP(LEFT(A232,2),SECTOR!$A$2:$A$88,SECTOR!$B$2:$B$88,"")</f>
        <v/>
      </c>
      <c r="G232" t="str">
        <f>_xlfn.XLOOKUP(LEFT(A232,3),INDUSTRY!$A$2:$A$259,INDUSTRY!$A$2:$A$259,"")</f>
        <v>263</v>
      </c>
      <c r="H232" t="str">
        <f>_xlfn.XLOOKUP(LEFT(A232,3),INDUSTRY!$A$2:$A$259,INDUSTRY!$B$2:$B$259,"")</f>
        <v>Manufacture of communication equipment</v>
      </c>
      <c r="I232" t="str">
        <f t="shared" si="6"/>
        <v>2630</v>
      </c>
      <c r="J232" t="str">
        <f t="shared" si="7"/>
        <v>Manufacture of communication equipment</v>
      </c>
    </row>
    <row r="233" spans="1:10" x14ac:dyDescent="0.25">
      <c r="A233" t="s">
        <v>1271</v>
      </c>
      <c r="B233" t="s">
        <v>1272</v>
      </c>
      <c r="C233" t="s">
        <v>1012</v>
      </c>
      <c r="D233" t="str">
        <f>_xlfn.XLOOKUP(ISIC_Rev_5_english_structure__1[[#This Row],[Column4]],INDUSTRYGROUP!$C$2:$C$23,INDUSTRYGROUP!$D$2:$D$23,"NONE")</f>
        <v>Manufacturing</v>
      </c>
      <c r="E233" t="str">
        <f>_xlfn.XLOOKUP(LEFT(A233,2),SECTOR!$A$2:$A$88,SECTOR!$A$2:$A$88,"")</f>
        <v/>
      </c>
      <c r="F233" t="str">
        <f>_xlfn.XLOOKUP(LEFT(A233,2),SECTOR!$A$2:$A$88,SECTOR!$B$2:$B$88,"")</f>
        <v/>
      </c>
      <c r="G233" t="str">
        <f>_xlfn.XLOOKUP(LEFT(A233,3),INDUSTRY!$A$2:$A$259,INDUSTRY!$A$2:$A$259,"")</f>
        <v>264</v>
      </c>
      <c r="H233" t="str">
        <f>_xlfn.XLOOKUP(LEFT(A233,3),INDUSTRY!$A$2:$A$259,INDUSTRY!$B$2:$B$259,"")</f>
        <v>Manufacture of consumer electronics</v>
      </c>
      <c r="I233" t="str">
        <f t="shared" si="6"/>
        <v/>
      </c>
      <c r="J233" t="str">
        <f t="shared" si="7"/>
        <v/>
      </c>
    </row>
    <row r="234" spans="1:10" x14ac:dyDescent="0.25">
      <c r="A234" t="s">
        <v>1273</v>
      </c>
      <c r="B234" t="s">
        <v>1272</v>
      </c>
      <c r="C234" t="s">
        <v>1012</v>
      </c>
      <c r="D234" t="str">
        <f>_xlfn.XLOOKUP(ISIC_Rev_5_english_structure__1[[#This Row],[Column4]],INDUSTRYGROUP!$C$2:$C$23,INDUSTRYGROUP!$D$2:$D$23,"NONE")</f>
        <v>Manufacturing</v>
      </c>
      <c r="E234" t="str">
        <f>_xlfn.XLOOKUP(LEFT(A234,2),SECTOR!$A$2:$A$88,SECTOR!$A$2:$A$88,"")</f>
        <v/>
      </c>
      <c r="F234" t="str">
        <f>_xlfn.XLOOKUP(LEFT(A234,2),SECTOR!$A$2:$A$88,SECTOR!$B$2:$B$88,"")</f>
        <v/>
      </c>
      <c r="G234" t="str">
        <f>_xlfn.XLOOKUP(LEFT(A234,3),INDUSTRY!$A$2:$A$259,INDUSTRY!$A$2:$A$259,"")</f>
        <v>264</v>
      </c>
      <c r="H234" t="str">
        <f>_xlfn.XLOOKUP(LEFT(A234,3),INDUSTRY!$A$2:$A$259,INDUSTRY!$B$2:$B$259,"")</f>
        <v>Manufacture of consumer electronics</v>
      </c>
      <c r="I234" t="str">
        <f t="shared" si="6"/>
        <v>2640</v>
      </c>
      <c r="J234" t="str">
        <f t="shared" si="7"/>
        <v>Manufacture of consumer electronics</v>
      </c>
    </row>
    <row r="235" spans="1:10" x14ac:dyDescent="0.25">
      <c r="A235" t="s">
        <v>1274</v>
      </c>
      <c r="B235" t="s">
        <v>1275</v>
      </c>
      <c r="C235" t="s">
        <v>1012</v>
      </c>
      <c r="D235" t="str">
        <f>_xlfn.XLOOKUP(ISIC_Rev_5_english_structure__1[[#This Row],[Column4]],INDUSTRYGROUP!$C$2:$C$23,INDUSTRYGROUP!$D$2:$D$23,"NONE")</f>
        <v>Manufacturing</v>
      </c>
      <c r="E235" t="str">
        <f>_xlfn.XLOOKUP(LEFT(A235,2),SECTOR!$A$2:$A$88,SECTOR!$A$2:$A$88,"")</f>
        <v/>
      </c>
      <c r="F235" t="str">
        <f>_xlfn.XLOOKUP(LEFT(A235,2),SECTOR!$A$2:$A$88,SECTOR!$B$2:$B$88,"")</f>
        <v/>
      </c>
      <c r="G235" t="str">
        <f>_xlfn.XLOOKUP(LEFT(A235,3),INDUSTRY!$A$2:$A$259,INDUSTRY!$A$2:$A$259,"")</f>
        <v>265</v>
      </c>
      <c r="H235" t="str">
        <f>_xlfn.XLOOKUP(LEFT(A235,3),INDUSTRY!$A$2:$A$259,INDUSTRY!$B$2:$B$259,"")</f>
        <v>Manufacture of measuring, testing, navigating and control equipment; watches and clocks</v>
      </c>
      <c r="I235" t="str">
        <f t="shared" si="6"/>
        <v/>
      </c>
      <c r="J235" t="str">
        <f t="shared" si="7"/>
        <v/>
      </c>
    </row>
    <row r="236" spans="1:10" x14ac:dyDescent="0.25">
      <c r="A236" t="s">
        <v>1276</v>
      </c>
      <c r="B236" t="s">
        <v>1277</v>
      </c>
      <c r="C236" t="s">
        <v>1012</v>
      </c>
      <c r="D236" t="str">
        <f>_xlfn.XLOOKUP(ISIC_Rev_5_english_structure__1[[#This Row],[Column4]],INDUSTRYGROUP!$C$2:$C$23,INDUSTRYGROUP!$D$2:$D$23,"NONE")</f>
        <v>Manufacturing</v>
      </c>
      <c r="E236" t="str">
        <f>_xlfn.XLOOKUP(LEFT(A236,2),SECTOR!$A$2:$A$88,SECTOR!$A$2:$A$88,"")</f>
        <v/>
      </c>
      <c r="F236" t="str">
        <f>_xlfn.XLOOKUP(LEFT(A236,2),SECTOR!$A$2:$A$88,SECTOR!$B$2:$B$88,"")</f>
        <v/>
      </c>
      <c r="G236" t="str">
        <f>_xlfn.XLOOKUP(LEFT(A236,3),INDUSTRY!$A$2:$A$259,INDUSTRY!$A$2:$A$259,"")</f>
        <v>265</v>
      </c>
      <c r="H236" t="str">
        <f>_xlfn.XLOOKUP(LEFT(A236,3),INDUSTRY!$A$2:$A$259,INDUSTRY!$B$2:$B$259,"")</f>
        <v>Manufacture of measuring, testing, navigating and control equipment; watches and clocks</v>
      </c>
      <c r="I236" t="str">
        <f t="shared" si="6"/>
        <v>2651</v>
      </c>
      <c r="J236" t="str">
        <f t="shared" si="7"/>
        <v>Manufacture of measuring, testing, navigating and control equipment</v>
      </c>
    </row>
    <row r="237" spans="1:10" x14ac:dyDescent="0.25">
      <c r="A237" t="s">
        <v>1278</v>
      </c>
      <c r="B237" t="s">
        <v>1279</v>
      </c>
      <c r="C237" t="s">
        <v>1012</v>
      </c>
      <c r="D237" t="str">
        <f>_xlfn.XLOOKUP(ISIC_Rev_5_english_structure__1[[#This Row],[Column4]],INDUSTRYGROUP!$C$2:$C$23,INDUSTRYGROUP!$D$2:$D$23,"NONE")</f>
        <v>Manufacturing</v>
      </c>
      <c r="E237" t="str">
        <f>_xlfn.XLOOKUP(LEFT(A237,2),SECTOR!$A$2:$A$88,SECTOR!$A$2:$A$88,"")</f>
        <v/>
      </c>
      <c r="F237" t="str">
        <f>_xlfn.XLOOKUP(LEFT(A237,2),SECTOR!$A$2:$A$88,SECTOR!$B$2:$B$88,"")</f>
        <v/>
      </c>
      <c r="G237" t="str">
        <f>_xlfn.XLOOKUP(LEFT(A237,3),INDUSTRY!$A$2:$A$259,INDUSTRY!$A$2:$A$259,"")</f>
        <v>265</v>
      </c>
      <c r="H237" t="str">
        <f>_xlfn.XLOOKUP(LEFT(A237,3),INDUSTRY!$A$2:$A$259,INDUSTRY!$B$2:$B$259,"")</f>
        <v>Manufacture of measuring, testing, navigating and control equipment; watches and clocks</v>
      </c>
      <c r="I237" t="str">
        <f t="shared" si="6"/>
        <v>2652</v>
      </c>
      <c r="J237" t="str">
        <f t="shared" si="7"/>
        <v>Manufacture of watches and clocks</v>
      </c>
    </row>
    <row r="238" spans="1:10" x14ac:dyDescent="0.25">
      <c r="A238" t="s">
        <v>1280</v>
      </c>
      <c r="B238" t="s">
        <v>1281</v>
      </c>
      <c r="C238" t="s">
        <v>1012</v>
      </c>
      <c r="D238" t="str">
        <f>_xlfn.XLOOKUP(ISIC_Rev_5_english_structure__1[[#This Row],[Column4]],INDUSTRYGROUP!$C$2:$C$23,INDUSTRYGROUP!$D$2:$D$23,"NONE")</f>
        <v>Manufacturing</v>
      </c>
      <c r="E238" t="str">
        <f>_xlfn.XLOOKUP(LEFT(A238,2),SECTOR!$A$2:$A$88,SECTOR!$A$2:$A$88,"")</f>
        <v/>
      </c>
      <c r="F238" t="str">
        <f>_xlfn.XLOOKUP(LEFT(A238,2),SECTOR!$A$2:$A$88,SECTOR!$B$2:$B$88,"")</f>
        <v/>
      </c>
      <c r="G238" t="str">
        <f>_xlfn.XLOOKUP(LEFT(A238,3),INDUSTRY!$A$2:$A$259,INDUSTRY!$A$2:$A$259,"")</f>
        <v>266</v>
      </c>
      <c r="H238" t="str">
        <f>_xlfn.XLOOKUP(LEFT(A238,3),INDUSTRY!$A$2:$A$259,INDUSTRY!$B$2:$B$259,"")</f>
        <v>Manufacture of irradiation, electromedical and electrotherapeutic equipment</v>
      </c>
      <c r="I238" t="str">
        <f t="shared" si="6"/>
        <v/>
      </c>
      <c r="J238" t="str">
        <f t="shared" si="7"/>
        <v/>
      </c>
    </row>
    <row r="239" spans="1:10" x14ac:dyDescent="0.25">
      <c r="A239" t="s">
        <v>1282</v>
      </c>
      <c r="B239" t="s">
        <v>1281</v>
      </c>
      <c r="C239" t="s">
        <v>1012</v>
      </c>
      <c r="D239" t="str">
        <f>_xlfn.XLOOKUP(ISIC_Rev_5_english_structure__1[[#This Row],[Column4]],INDUSTRYGROUP!$C$2:$C$23,INDUSTRYGROUP!$D$2:$D$23,"NONE")</f>
        <v>Manufacturing</v>
      </c>
      <c r="E239" t="str">
        <f>_xlfn.XLOOKUP(LEFT(A239,2),SECTOR!$A$2:$A$88,SECTOR!$A$2:$A$88,"")</f>
        <v/>
      </c>
      <c r="F239" t="str">
        <f>_xlfn.XLOOKUP(LEFT(A239,2),SECTOR!$A$2:$A$88,SECTOR!$B$2:$B$88,"")</f>
        <v/>
      </c>
      <c r="G239" t="str">
        <f>_xlfn.XLOOKUP(LEFT(A239,3),INDUSTRY!$A$2:$A$259,INDUSTRY!$A$2:$A$259,"")</f>
        <v>266</v>
      </c>
      <c r="H239" t="str">
        <f>_xlfn.XLOOKUP(LEFT(A239,3),INDUSTRY!$A$2:$A$259,INDUSTRY!$B$2:$B$259,"")</f>
        <v>Manufacture of irradiation, electromedical and electrotherapeutic equipment</v>
      </c>
      <c r="I239" t="str">
        <f t="shared" si="6"/>
        <v>2660</v>
      </c>
      <c r="J239" t="str">
        <f t="shared" si="7"/>
        <v>Manufacture of irradiation, electromedical and electrotherapeutic equipment</v>
      </c>
    </row>
    <row r="240" spans="1:10" x14ac:dyDescent="0.25">
      <c r="A240" t="s">
        <v>1283</v>
      </c>
      <c r="B240" t="s">
        <v>1284</v>
      </c>
      <c r="C240" t="s">
        <v>1012</v>
      </c>
      <c r="D240" t="str">
        <f>_xlfn.XLOOKUP(ISIC_Rev_5_english_structure__1[[#This Row],[Column4]],INDUSTRYGROUP!$C$2:$C$23,INDUSTRYGROUP!$D$2:$D$23,"NONE")</f>
        <v>Manufacturing</v>
      </c>
      <c r="E240" t="str">
        <f>_xlfn.XLOOKUP(LEFT(A240,2),SECTOR!$A$2:$A$88,SECTOR!$A$2:$A$88,"")</f>
        <v/>
      </c>
      <c r="F240" t="str">
        <f>_xlfn.XLOOKUP(LEFT(A240,2),SECTOR!$A$2:$A$88,SECTOR!$B$2:$B$88,"")</f>
        <v/>
      </c>
      <c r="G240" t="str">
        <f>_xlfn.XLOOKUP(LEFT(A240,3),INDUSTRY!$A$2:$A$259,INDUSTRY!$A$2:$A$259,"")</f>
        <v>267</v>
      </c>
      <c r="H240" t="str">
        <f>_xlfn.XLOOKUP(LEFT(A240,3),INDUSTRY!$A$2:$A$259,INDUSTRY!$B$2:$B$259,"")</f>
        <v>Manufacture of optical instruments and photographic equipment</v>
      </c>
      <c r="I240" t="str">
        <f t="shared" si="6"/>
        <v/>
      </c>
      <c r="J240" t="str">
        <f t="shared" si="7"/>
        <v/>
      </c>
    </row>
    <row r="241" spans="1:10" x14ac:dyDescent="0.25">
      <c r="A241" t="s">
        <v>1285</v>
      </c>
      <c r="B241" t="s">
        <v>1284</v>
      </c>
      <c r="C241" t="s">
        <v>1012</v>
      </c>
      <c r="D241" t="str">
        <f>_xlfn.XLOOKUP(ISIC_Rev_5_english_structure__1[[#This Row],[Column4]],INDUSTRYGROUP!$C$2:$C$23,INDUSTRYGROUP!$D$2:$D$23,"NONE")</f>
        <v>Manufacturing</v>
      </c>
      <c r="E241" t="str">
        <f>_xlfn.XLOOKUP(LEFT(A241,2),SECTOR!$A$2:$A$88,SECTOR!$A$2:$A$88,"")</f>
        <v/>
      </c>
      <c r="F241" t="str">
        <f>_xlfn.XLOOKUP(LEFT(A241,2),SECTOR!$A$2:$A$88,SECTOR!$B$2:$B$88,"")</f>
        <v/>
      </c>
      <c r="G241" t="str">
        <f>_xlfn.XLOOKUP(LEFT(A241,3),INDUSTRY!$A$2:$A$259,INDUSTRY!$A$2:$A$259,"")</f>
        <v>267</v>
      </c>
      <c r="H241" t="str">
        <f>_xlfn.XLOOKUP(LEFT(A241,3),INDUSTRY!$A$2:$A$259,INDUSTRY!$B$2:$B$259,"")</f>
        <v>Manufacture of optical instruments and photographic equipment</v>
      </c>
      <c r="I241" t="str">
        <f t="shared" si="6"/>
        <v>2670</v>
      </c>
      <c r="J241" t="str">
        <f t="shared" si="7"/>
        <v>Manufacture of optical instruments and photographic equipment</v>
      </c>
    </row>
    <row r="242" spans="1:10" x14ac:dyDescent="0.25">
      <c r="A242" t="s">
        <v>1286</v>
      </c>
      <c r="B242" t="s">
        <v>1287</v>
      </c>
      <c r="C242" t="s">
        <v>1012</v>
      </c>
      <c r="D242" t="str">
        <f>_xlfn.XLOOKUP(ISIC_Rev_5_english_structure__1[[#This Row],[Column4]],INDUSTRYGROUP!$C$2:$C$23,INDUSTRYGROUP!$D$2:$D$23,"NONE")</f>
        <v>Manufacturing</v>
      </c>
      <c r="E242" t="str">
        <f>_xlfn.XLOOKUP(LEFT(A242,2),SECTOR!$A$2:$A$88,SECTOR!$A$2:$A$88,"")</f>
        <v/>
      </c>
      <c r="F242" t="str">
        <f>_xlfn.XLOOKUP(LEFT(A242,2),SECTOR!$A$2:$A$88,SECTOR!$B$2:$B$88,"")</f>
        <v/>
      </c>
      <c r="G242" t="str">
        <f>_xlfn.XLOOKUP(LEFT(A242,3),INDUSTRY!$A$2:$A$259,INDUSTRY!$A$2:$A$259,"")</f>
        <v>268</v>
      </c>
      <c r="H242" t="str">
        <f>_xlfn.XLOOKUP(LEFT(A242,3),INDUSTRY!$A$2:$A$259,INDUSTRY!$B$2:$B$259,"")</f>
        <v>Manufacture of magnetic and optical media</v>
      </c>
      <c r="I242" t="str">
        <f t="shared" si="6"/>
        <v/>
      </c>
      <c r="J242" t="str">
        <f t="shared" si="7"/>
        <v/>
      </c>
    </row>
    <row r="243" spans="1:10" x14ac:dyDescent="0.25">
      <c r="A243" t="s">
        <v>1288</v>
      </c>
      <c r="B243" t="s">
        <v>1287</v>
      </c>
      <c r="C243" t="s">
        <v>1012</v>
      </c>
      <c r="D243" t="str">
        <f>_xlfn.XLOOKUP(ISIC_Rev_5_english_structure__1[[#This Row],[Column4]],INDUSTRYGROUP!$C$2:$C$23,INDUSTRYGROUP!$D$2:$D$23,"NONE")</f>
        <v>Manufacturing</v>
      </c>
      <c r="E243" t="str">
        <f>_xlfn.XLOOKUP(LEFT(A243,2),SECTOR!$A$2:$A$88,SECTOR!$A$2:$A$88,"")</f>
        <v/>
      </c>
      <c r="F243" t="str">
        <f>_xlfn.XLOOKUP(LEFT(A243,2),SECTOR!$A$2:$A$88,SECTOR!$B$2:$B$88,"")</f>
        <v/>
      </c>
      <c r="G243" t="str">
        <f>_xlfn.XLOOKUP(LEFT(A243,3),INDUSTRY!$A$2:$A$259,INDUSTRY!$A$2:$A$259,"")</f>
        <v>268</v>
      </c>
      <c r="H243" t="str">
        <f>_xlfn.XLOOKUP(LEFT(A243,3),INDUSTRY!$A$2:$A$259,INDUSTRY!$B$2:$B$259,"")</f>
        <v>Manufacture of magnetic and optical media</v>
      </c>
      <c r="I243" t="str">
        <f t="shared" si="6"/>
        <v>2680</v>
      </c>
      <c r="J243" t="str">
        <f t="shared" si="7"/>
        <v>Manufacture of magnetic and optical media</v>
      </c>
    </row>
    <row r="244" spans="1:10" x14ac:dyDescent="0.25">
      <c r="A244" t="s">
        <v>1289</v>
      </c>
      <c r="B244" t="s">
        <v>1290</v>
      </c>
      <c r="C244" t="s">
        <v>1012</v>
      </c>
      <c r="D244" t="str">
        <f>_xlfn.XLOOKUP(ISIC_Rev_5_english_structure__1[[#This Row],[Column4]],INDUSTRYGROUP!$C$2:$C$23,INDUSTRYGROUP!$D$2:$D$23,"NONE")</f>
        <v>Manufacturing</v>
      </c>
      <c r="E244" t="str">
        <f>_xlfn.XLOOKUP(LEFT(A244,2),SECTOR!$A$2:$A$88,SECTOR!$A$2:$A$88,"")</f>
        <v/>
      </c>
      <c r="F244" t="str">
        <f>_xlfn.XLOOKUP(LEFT(A244,2),SECTOR!$A$2:$A$88,SECTOR!$B$2:$B$88,"")</f>
        <v/>
      </c>
      <c r="G244" t="str">
        <f>_xlfn.XLOOKUP(LEFT(A244,3),INDUSTRY!$A$2:$A$259,INDUSTRY!$A$2:$A$259,"")</f>
        <v/>
      </c>
      <c r="H244" t="str">
        <f>_xlfn.XLOOKUP(LEFT(A244,3),INDUSTRY!$A$2:$A$259,INDUSTRY!$B$2:$B$259,"")</f>
        <v/>
      </c>
      <c r="I244" t="str">
        <f t="shared" si="6"/>
        <v/>
      </c>
      <c r="J244" t="str">
        <f t="shared" si="7"/>
        <v/>
      </c>
    </row>
    <row r="245" spans="1:10" x14ac:dyDescent="0.25">
      <c r="A245" t="s">
        <v>1291</v>
      </c>
      <c r="B245" t="s">
        <v>1292</v>
      </c>
      <c r="C245" t="s">
        <v>1012</v>
      </c>
      <c r="D245" t="str">
        <f>_xlfn.XLOOKUP(ISIC_Rev_5_english_structure__1[[#This Row],[Column4]],INDUSTRYGROUP!$C$2:$C$23,INDUSTRYGROUP!$D$2:$D$23,"NONE")</f>
        <v>Manufacturing</v>
      </c>
      <c r="E245" t="str">
        <f>_xlfn.XLOOKUP(LEFT(A245,2),SECTOR!$A$2:$A$88,SECTOR!$A$2:$A$88,"")</f>
        <v/>
      </c>
      <c r="F245" t="str">
        <f>_xlfn.XLOOKUP(LEFT(A245,2),SECTOR!$A$2:$A$88,SECTOR!$B$2:$B$88,"")</f>
        <v/>
      </c>
      <c r="G245" t="str">
        <f>_xlfn.XLOOKUP(LEFT(A245,3),INDUSTRY!$A$2:$A$259,INDUSTRY!$A$2:$A$259,"")</f>
        <v>271</v>
      </c>
      <c r="H245" t="str">
        <f>_xlfn.XLOOKUP(LEFT(A245,3),INDUSTRY!$A$2:$A$259,INDUSTRY!$B$2:$B$259,"")</f>
        <v>Manufacture of electric motors, generators, transformers and electricity distribution and control apparatus</v>
      </c>
      <c r="I245" t="str">
        <f t="shared" si="6"/>
        <v/>
      </c>
      <c r="J245" t="str">
        <f t="shared" si="7"/>
        <v/>
      </c>
    </row>
    <row r="246" spans="1:10" x14ac:dyDescent="0.25">
      <c r="A246" t="s">
        <v>1293</v>
      </c>
      <c r="B246" t="s">
        <v>1292</v>
      </c>
      <c r="C246" t="s">
        <v>1012</v>
      </c>
      <c r="D246" t="str">
        <f>_xlfn.XLOOKUP(ISIC_Rev_5_english_structure__1[[#This Row],[Column4]],INDUSTRYGROUP!$C$2:$C$23,INDUSTRYGROUP!$D$2:$D$23,"NONE")</f>
        <v>Manufacturing</v>
      </c>
      <c r="E246" t="str">
        <f>_xlfn.XLOOKUP(LEFT(A246,2),SECTOR!$A$2:$A$88,SECTOR!$A$2:$A$88,"")</f>
        <v/>
      </c>
      <c r="F246" t="str">
        <f>_xlfn.XLOOKUP(LEFT(A246,2),SECTOR!$A$2:$A$88,SECTOR!$B$2:$B$88,"")</f>
        <v/>
      </c>
      <c r="G246" t="str">
        <f>_xlfn.XLOOKUP(LEFT(A246,3),INDUSTRY!$A$2:$A$259,INDUSTRY!$A$2:$A$259,"")</f>
        <v>271</v>
      </c>
      <c r="H246" t="str">
        <f>_xlfn.XLOOKUP(LEFT(A246,3),INDUSTRY!$A$2:$A$259,INDUSTRY!$B$2:$B$259,"")</f>
        <v>Manufacture of electric motors, generators, transformers and electricity distribution and control apparatus</v>
      </c>
      <c r="I246" t="str">
        <f t="shared" si="6"/>
        <v>2710</v>
      </c>
      <c r="J246" t="str">
        <f t="shared" si="7"/>
        <v>Manufacture of electric motors, generators, transformers and electricity distribution and control apparatus</v>
      </c>
    </row>
    <row r="247" spans="1:10" x14ac:dyDescent="0.25">
      <c r="A247" t="s">
        <v>1294</v>
      </c>
      <c r="B247" t="s">
        <v>1295</v>
      </c>
      <c r="C247" t="s">
        <v>1012</v>
      </c>
      <c r="D247" t="str">
        <f>_xlfn.XLOOKUP(ISIC_Rev_5_english_structure__1[[#This Row],[Column4]],INDUSTRYGROUP!$C$2:$C$23,INDUSTRYGROUP!$D$2:$D$23,"NONE")</f>
        <v>Manufacturing</v>
      </c>
      <c r="E247" t="str">
        <f>_xlfn.XLOOKUP(LEFT(A247,2),SECTOR!$A$2:$A$88,SECTOR!$A$2:$A$88,"")</f>
        <v/>
      </c>
      <c r="F247" t="str">
        <f>_xlfn.XLOOKUP(LEFT(A247,2),SECTOR!$A$2:$A$88,SECTOR!$B$2:$B$88,"")</f>
        <v/>
      </c>
      <c r="G247" t="str">
        <f>_xlfn.XLOOKUP(LEFT(A247,3),INDUSTRY!$A$2:$A$259,INDUSTRY!$A$2:$A$259,"")</f>
        <v>272</v>
      </c>
      <c r="H247" t="str">
        <f>_xlfn.XLOOKUP(LEFT(A247,3),INDUSTRY!$A$2:$A$259,INDUSTRY!$B$2:$B$259,"")</f>
        <v>Manufacture of batteries and accumulators</v>
      </c>
      <c r="I247" t="str">
        <f t="shared" si="6"/>
        <v/>
      </c>
      <c r="J247" t="str">
        <f t="shared" si="7"/>
        <v/>
      </c>
    </row>
    <row r="248" spans="1:10" x14ac:dyDescent="0.25">
      <c r="A248" t="s">
        <v>1296</v>
      </c>
      <c r="B248" t="s">
        <v>1295</v>
      </c>
      <c r="C248" t="s">
        <v>1012</v>
      </c>
      <c r="D248" t="str">
        <f>_xlfn.XLOOKUP(ISIC_Rev_5_english_structure__1[[#This Row],[Column4]],INDUSTRYGROUP!$C$2:$C$23,INDUSTRYGROUP!$D$2:$D$23,"NONE")</f>
        <v>Manufacturing</v>
      </c>
      <c r="E248" t="str">
        <f>_xlfn.XLOOKUP(LEFT(A248,2),SECTOR!$A$2:$A$88,SECTOR!$A$2:$A$88,"")</f>
        <v/>
      </c>
      <c r="F248" t="str">
        <f>_xlfn.XLOOKUP(LEFT(A248,2),SECTOR!$A$2:$A$88,SECTOR!$B$2:$B$88,"")</f>
        <v/>
      </c>
      <c r="G248" t="str">
        <f>_xlfn.XLOOKUP(LEFT(A248,3),INDUSTRY!$A$2:$A$259,INDUSTRY!$A$2:$A$259,"")</f>
        <v>272</v>
      </c>
      <c r="H248" t="str">
        <f>_xlfn.XLOOKUP(LEFT(A248,3),INDUSTRY!$A$2:$A$259,INDUSTRY!$B$2:$B$259,"")</f>
        <v>Manufacture of batteries and accumulators</v>
      </c>
      <c r="I248" t="str">
        <f t="shared" si="6"/>
        <v>2720</v>
      </c>
      <c r="J248" t="str">
        <f t="shared" si="7"/>
        <v>Manufacture of batteries and accumulators</v>
      </c>
    </row>
    <row r="249" spans="1:10" x14ac:dyDescent="0.25">
      <c r="A249" t="s">
        <v>1297</v>
      </c>
      <c r="B249" t="s">
        <v>1298</v>
      </c>
      <c r="C249" t="s">
        <v>1012</v>
      </c>
      <c r="D249" t="str">
        <f>_xlfn.XLOOKUP(ISIC_Rev_5_english_structure__1[[#This Row],[Column4]],INDUSTRYGROUP!$C$2:$C$23,INDUSTRYGROUP!$D$2:$D$23,"NONE")</f>
        <v>Manufacturing</v>
      </c>
      <c r="E249" t="str">
        <f>_xlfn.XLOOKUP(LEFT(A249,2),SECTOR!$A$2:$A$88,SECTOR!$A$2:$A$88,"")</f>
        <v/>
      </c>
      <c r="F249" t="str">
        <f>_xlfn.XLOOKUP(LEFT(A249,2),SECTOR!$A$2:$A$88,SECTOR!$B$2:$B$88,"")</f>
        <v/>
      </c>
      <c r="G249" t="str">
        <f>_xlfn.XLOOKUP(LEFT(A249,3),INDUSTRY!$A$2:$A$259,INDUSTRY!$A$2:$A$259,"")</f>
        <v>273</v>
      </c>
      <c r="H249" t="str">
        <f>_xlfn.XLOOKUP(LEFT(A249,3),INDUSTRY!$A$2:$A$259,INDUSTRY!$B$2:$B$259,"")</f>
        <v>Manufacture of wiring and wiring devices</v>
      </c>
      <c r="I249" t="str">
        <f t="shared" si="6"/>
        <v/>
      </c>
      <c r="J249" t="str">
        <f t="shared" si="7"/>
        <v/>
      </c>
    </row>
    <row r="250" spans="1:10" x14ac:dyDescent="0.25">
      <c r="A250" t="s">
        <v>1299</v>
      </c>
      <c r="B250" t="s">
        <v>1300</v>
      </c>
      <c r="C250" t="s">
        <v>1012</v>
      </c>
      <c r="D250" t="str">
        <f>_xlfn.XLOOKUP(ISIC_Rev_5_english_structure__1[[#This Row],[Column4]],INDUSTRYGROUP!$C$2:$C$23,INDUSTRYGROUP!$D$2:$D$23,"NONE")</f>
        <v>Manufacturing</v>
      </c>
      <c r="E250" t="str">
        <f>_xlfn.XLOOKUP(LEFT(A250,2),SECTOR!$A$2:$A$88,SECTOR!$A$2:$A$88,"")</f>
        <v/>
      </c>
      <c r="F250" t="str">
        <f>_xlfn.XLOOKUP(LEFT(A250,2),SECTOR!$A$2:$A$88,SECTOR!$B$2:$B$88,"")</f>
        <v/>
      </c>
      <c r="G250" t="str">
        <f>_xlfn.XLOOKUP(LEFT(A250,3),INDUSTRY!$A$2:$A$259,INDUSTRY!$A$2:$A$259,"")</f>
        <v>273</v>
      </c>
      <c r="H250" t="str">
        <f>_xlfn.XLOOKUP(LEFT(A250,3),INDUSTRY!$A$2:$A$259,INDUSTRY!$B$2:$B$259,"")</f>
        <v>Manufacture of wiring and wiring devices</v>
      </c>
      <c r="I250" t="str">
        <f t="shared" si="6"/>
        <v>2731</v>
      </c>
      <c r="J250" t="str">
        <f t="shared" si="7"/>
        <v>Manufacture of fibre optic cables</v>
      </c>
    </row>
    <row r="251" spans="1:10" x14ac:dyDescent="0.25">
      <c r="A251" t="s">
        <v>1301</v>
      </c>
      <c r="B251" t="s">
        <v>1302</v>
      </c>
      <c r="C251" t="s">
        <v>1012</v>
      </c>
      <c r="D251" t="str">
        <f>_xlfn.XLOOKUP(ISIC_Rev_5_english_structure__1[[#This Row],[Column4]],INDUSTRYGROUP!$C$2:$C$23,INDUSTRYGROUP!$D$2:$D$23,"NONE")</f>
        <v>Manufacturing</v>
      </c>
      <c r="E251" t="str">
        <f>_xlfn.XLOOKUP(LEFT(A251,2),SECTOR!$A$2:$A$88,SECTOR!$A$2:$A$88,"")</f>
        <v/>
      </c>
      <c r="F251" t="str">
        <f>_xlfn.XLOOKUP(LEFT(A251,2),SECTOR!$A$2:$A$88,SECTOR!$B$2:$B$88,"")</f>
        <v/>
      </c>
      <c r="G251" t="str">
        <f>_xlfn.XLOOKUP(LEFT(A251,3),INDUSTRY!$A$2:$A$259,INDUSTRY!$A$2:$A$259,"")</f>
        <v>273</v>
      </c>
      <c r="H251" t="str">
        <f>_xlfn.XLOOKUP(LEFT(A251,3),INDUSTRY!$A$2:$A$259,INDUSTRY!$B$2:$B$259,"")</f>
        <v>Manufacture of wiring and wiring devices</v>
      </c>
      <c r="I251" t="str">
        <f t="shared" si="6"/>
        <v>2732</v>
      </c>
      <c r="J251" t="str">
        <f t="shared" si="7"/>
        <v>Manufacture of other electronic and electric wires and cables</v>
      </c>
    </row>
    <row r="252" spans="1:10" x14ac:dyDescent="0.25">
      <c r="A252" t="s">
        <v>1303</v>
      </c>
      <c r="B252" t="s">
        <v>1304</v>
      </c>
      <c r="C252" t="s">
        <v>1012</v>
      </c>
      <c r="D252" t="str">
        <f>_xlfn.XLOOKUP(ISIC_Rev_5_english_structure__1[[#This Row],[Column4]],INDUSTRYGROUP!$C$2:$C$23,INDUSTRYGROUP!$D$2:$D$23,"NONE")</f>
        <v>Manufacturing</v>
      </c>
      <c r="E252" t="str">
        <f>_xlfn.XLOOKUP(LEFT(A252,2),SECTOR!$A$2:$A$88,SECTOR!$A$2:$A$88,"")</f>
        <v/>
      </c>
      <c r="F252" t="str">
        <f>_xlfn.XLOOKUP(LEFT(A252,2),SECTOR!$A$2:$A$88,SECTOR!$B$2:$B$88,"")</f>
        <v/>
      </c>
      <c r="G252" t="str">
        <f>_xlfn.XLOOKUP(LEFT(A252,3),INDUSTRY!$A$2:$A$259,INDUSTRY!$A$2:$A$259,"")</f>
        <v>273</v>
      </c>
      <c r="H252" t="str">
        <f>_xlfn.XLOOKUP(LEFT(A252,3),INDUSTRY!$A$2:$A$259,INDUSTRY!$B$2:$B$259,"")</f>
        <v>Manufacture of wiring and wiring devices</v>
      </c>
      <c r="I252" t="str">
        <f t="shared" si="6"/>
        <v>2733</v>
      </c>
      <c r="J252" t="str">
        <f t="shared" si="7"/>
        <v>Manufacture of wiring devices</v>
      </c>
    </row>
    <row r="253" spans="1:10" x14ac:dyDescent="0.25">
      <c r="A253" t="s">
        <v>1305</v>
      </c>
      <c r="B253" t="s">
        <v>1306</v>
      </c>
      <c r="C253" t="s">
        <v>1012</v>
      </c>
      <c r="D253" t="str">
        <f>_xlfn.XLOOKUP(ISIC_Rev_5_english_structure__1[[#This Row],[Column4]],INDUSTRYGROUP!$C$2:$C$23,INDUSTRYGROUP!$D$2:$D$23,"NONE")</f>
        <v>Manufacturing</v>
      </c>
      <c r="E253" t="str">
        <f>_xlfn.XLOOKUP(LEFT(A253,2),SECTOR!$A$2:$A$88,SECTOR!$A$2:$A$88,"")</f>
        <v/>
      </c>
      <c r="F253" t="str">
        <f>_xlfn.XLOOKUP(LEFT(A253,2),SECTOR!$A$2:$A$88,SECTOR!$B$2:$B$88,"")</f>
        <v/>
      </c>
      <c r="G253" t="str">
        <f>_xlfn.XLOOKUP(LEFT(A253,3),INDUSTRY!$A$2:$A$259,INDUSTRY!$A$2:$A$259,"")</f>
        <v>274</v>
      </c>
      <c r="H253" t="str">
        <f>_xlfn.XLOOKUP(LEFT(A253,3),INDUSTRY!$A$2:$A$259,INDUSTRY!$B$2:$B$259,"")</f>
        <v>Manufacture of lighting equipment</v>
      </c>
      <c r="I253" t="str">
        <f t="shared" si="6"/>
        <v/>
      </c>
      <c r="J253" t="str">
        <f t="shared" si="7"/>
        <v/>
      </c>
    </row>
    <row r="254" spans="1:10" x14ac:dyDescent="0.25">
      <c r="A254" t="s">
        <v>1307</v>
      </c>
      <c r="B254" t="s">
        <v>1306</v>
      </c>
      <c r="C254" t="s">
        <v>1012</v>
      </c>
      <c r="D254" t="str">
        <f>_xlfn.XLOOKUP(ISIC_Rev_5_english_structure__1[[#This Row],[Column4]],INDUSTRYGROUP!$C$2:$C$23,INDUSTRYGROUP!$D$2:$D$23,"NONE")</f>
        <v>Manufacturing</v>
      </c>
      <c r="E254" t="str">
        <f>_xlfn.XLOOKUP(LEFT(A254,2),SECTOR!$A$2:$A$88,SECTOR!$A$2:$A$88,"")</f>
        <v/>
      </c>
      <c r="F254" t="str">
        <f>_xlfn.XLOOKUP(LEFT(A254,2),SECTOR!$A$2:$A$88,SECTOR!$B$2:$B$88,"")</f>
        <v/>
      </c>
      <c r="G254" t="str">
        <f>_xlfn.XLOOKUP(LEFT(A254,3),INDUSTRY!$A$2:$A$259,INDUSTRY!$A$2:$A$259,"")</f>
        <v>274</v>
      </c>
      <c r="H254" t="str">
        <f>_xlfn.XLOOKUP(LEFT(A254,3),INDUSTRY!$A$2:$A$259,INDUSTRY!$B$2:$B$259,"")</f>
        <v>Manufacture of lighting equipment</v>
      </c>
      <c r="I254" t="str">
        <f t="shared" si="6"/>
        <v>2740</v>
      </c>
      <c r="J254" t="str">
        <f t="shared" si="7"/>
        <v>Manufacture of lighting equipment</v>
      </c>
    </row>
    <row r="255" spans="1:10" x14ac:dyDescent="0.25">
      <c r="A255" t="s">
        <v>1308</v>
      </c>
      <c r="B255" t="s">
        <v>1309</v>
      </c>
      <c r="C255" t="s">
        <v>1012</v>
      </c>
      <c r="D255" t="str">
        <f>_xlfn.XLOOKUP(ISIC_Rev_5_english_structure__1[[#This Row],[Column4]],INDUSTRYGROUP!$C$2:$C$23,INDUSTRYGROUP!$D$2:$D$23,"NONE")</f>
        <v>Manufacturing</v>
      </c>
      <c r="E255" t="str">
        <f>_xlfn.XLOOKUP(LEFT(A255,2),SECTOR!$A$2:$A$88,SECTOR!$A$2:$A$88,"")</f>
        <v/>
      </c>
      <c r="F255" t="str">
        <f>_xlfn.XLOOKUP(LEFT(A255,2),SECTOR!$A$2:$A$88,SECTOR!$B$2:$B$88,"")</f>
        <v/>
      </c>
      <c r="G255" t="str">
        <f>_xlfn.XLOOKUP(LEFT(A255,3),INDUSTRY!$A$2:$A$259,INDUSTRY!$A$2:$A$259,"")</f>
        <v>275</v>
      </c>
      <c r="H255" t="str">
        <f>_xlfn.XLOOKUP(LEFT(A255,3),INDUSTRY!$A$2:$A$259,INDUSTRY!$B$2:$B$259,"")</f>
        <v>Manufacture of domestic appliances</v>
      </c>
      <c r="I255" t="str">
        <f t="shared" si="6"/>
        <v/>
      </c>
      <c r="J255" t="str">
        <f t="shared" si="7"/>
        <v/>
      </c>
    </row>
    <row r="256" spans="1:10" x14ac:dyDescent="0.25">
      <c r="A256" t="s">
        <v>1310</v>
      </c>
      <c r="B256" t="s">
        <v>1309</v>
      </c>
      <c r="C256" t="s">
        <v>1012</v>
      </c>
      <c r="D256" t="str">
        <f>_xlfn.XLOOKUP(ISIC_Rev_5_english_structure__1[[#This Row],[Column4]],INDUSTRYGROUP!$C$2:$C$23,INDUSTRYGROUP!$D$2:$D$23,"NONE")</f>
        <v>Manufacturing</v>
      </c>
      <c r="E256" t="str">
        <f>_xlfn.XLOOKUP(LEFT(A256,2),SECTOR!$A$2:$A$88,SECTOR!$A$2:$A$88,"")</f>
        <v/>
      </c>
      <c r="F256" t="str">
        <f>_xlfn.XLOOKUP(LEFT(A256,2),SECTOR!$A$2:$A$88,SECTOR!$B$2:$B$88,"")</f>
        <v/>
      </c>
      <c r="G256" t="str">
        <f>_xlfn.XLOOKUP(LEFT(A256,3),INDUSTRY!$A$2:$A$259,INDUSTRY!$A$2:$A$259,"")</f>
        <v>275</v>
      </c>
      <c r="H256" t="str">
        <f>_xlfn.XLOOKUP(LEFT(A256,3),INDUSTRY!$A$2:$A$259,INDUSTRY!$B$2:$B$259,"")</f>
        <v>Manufacture of domestic appliances</v>
      </c>
      <c r="I256" t="str">
        <f t="shared" si="6"/>
        <v>2750</v>
      </c>
      <c r="J256" t="str">
        <f t="shared" si="7"/>
        <v>Manufacture of domestic appliances</v>
      </c>
    </row>
    <row r="257" spans="1:10" x14ac:dyDescent="0.25">
      <c r="A257" t="s">
        <v>1311</v>
      </c>
      <c r="B257" t="s">
        <v>1312</v>
      </c>
      <c r="C257" t="s">
        <v>1012</v>
      </c>
      <c r="D257" t="str">
        <f>_xlfn.XLOOKUP(ISIC_Rev_5_english_structure__1[[#This Row],[Column4]],INDUSTRYGROUP!$C$2:$C$23,INDUSTRYGROUP!$D$2:$D$23,"NONE")</f>
        <v>Manufacturing</v>
      </c>
      <c r="E257" t="str">
        <f>_xlfn.XLOOKUP(LEFT(A257,2),SECTOR!$A$2:$A$88,SECTOR!$A$2:$A$88,"")</f>
        <v/>
      </c>
      <c r="F257" t="str">
        <f>_xlfn.XLOOKUP(LEFT(A257,2),SECTOR!$A$2:$A$88,SECTOR!$B$2:$B$88,"")</f>
        <v/>
      </c>
      <c r="G257" t="str">
        <f>_xlfn.XLOOKUP(LEFT(A257,3),INDUSTRY!$A$2:$A$259,INDUSTRY!$A$2:$A$259,"")</f>
        <v>279</v>
      </c>
      <c r="H257" t="str">
        <f>_xlfn.XLOOKUP(LEFT(A257,3),INDUSTRY!$A$2:$A$259,INDUSTRY!$B$2:$B$259,"")</f>
        <v>Manufacture of other electrical equipment</v>
      </c>
      <c r="I257" t="str">
        <f t="shared" si="6"/>
        <v/>
      </c>
      <c r="J257" t="str">
        <f t="shared" si="7"/>
        <v/>
      </c>
    </row>
    <row r="258" spans="1:10" x14ac:dyDescent="0.25">
      <c r="A258" t="s">
        <v>1313</v>
      </c>
      <c r="B258" t="s">
        <v>1312</v>
      </c>
      <c r="C258" t="s">
        <v>1012</v>
      </c>
      <c r="D258" t="str">
        <f>_xlfn.XLOOKUP(ISIC_Rev_5_english_structure__1[[#This Row],[Column4]],INDUSTRYGROUP!$C$2:$C$23,INDUSTRYGROUP!$D$2:$D$23,"NONE")</f>
        <v>Manufacturing</v>
      </c>
      <c r="E258" t="str">
        <f>_xlfn.XLOOKUP(LEFT(A258,2),SECTOR!$A$2:$A$88,SECTOR!$A$2:$A$88,"")</f>
        <v/>
      </c>
      <c r="F258" t="str">
        <f>_xlfn.XLOOKUP(LEFT(A258,2),SECTOR!$A$2:$A$88,SECTOR!$B$2:$B$88,"")</f>
        <v/>
      </c>
      <c r="G258" t="str">
        <f>_xlfn.XLOOKUP(LEFT(A258,3),INDUSTRY!$A$2:$A$259,INDUSTRY!$A$2:$A$259,"")</f>
        <v>279</v>
      </c>
      <c r="H258" t="str">
        <f>_xlfn.XLOOKUP(LEFT(A258,3),INDUSTRY!$A$2:$A$259,INDUSTRY!$B$2:$B$259,"")</f>
        <v>Manufacture of other electrical equipment</v>
      </c>
      <c r="I258" t="str">
        <f t="shared" ref="I258:I321" si="8">IF(LEN(A258)=4,A258,"")</f>
        <v>2790</v>
      </c>
      <c r="J258" t="str">
        <f t="shared" ref="J258:J321" si="9">IF(LEN(A258)=4,B258,"")</f>
        <v>Manufacture of other electrical equipment</v>
      </c>
    </row>
    <row r="259" spans="1:10" x14ac:dyDescent="0.25">
      <c r="A259" t="s">
        <v>1314</v>
      </c>
      <c r="B259" t="s">
        <v>1315</v>
      </c>
      <c r="C259" t="s">
        <v>1012</v>
      </c>
      <c r="D259" t="str">
        <f>_xlfn.XLOOKUP(ISIC_Rev_5_english_structure__1[[#This Row],[Column4]],INDUSTRYGROUP!$C$2:$C$23,INDUSTRYGROUP!$D$2:$D$23,"NONE")</f>
        <v>Manufacturing</v>
      </c>
      <c r="E259" t="str">
        <f>_xlfn.XLOOKUP(LEFT(A259,2),SECTOR!$A$2:$A$88,SECTOR!$A$2:$A$88,"")</f>
        <v/>
      </c>
      <c r="F259" t="str">
        <f>_xlfn.XLOOKUP(LEFT(A259,2),SECTOR!$A$2:$A$88,SECTOR!$B$2:$B$88,"")</f>
        <v/>
      </c>
      <c r="G259" t="str">
        <f>_xlfn.XLOOKUP(LEFT(A259,3),INDUSTRY!$A$2:$A$259,INDUSTRY!$A$2:$A$259,"")</f>
        <v/>
      </c>
      <c r="H259" t="str">
        <f>_xlfn.XLOOKUP(LEFT(A259,3),INDUSTRY!$A$2:$A$259,INDUSTRY!$B$2:$B$259,"")</f>
        <v/>
      </c>
      <c r="I259" t="str">
        <f t="shared" si="8"/>
        <v/>
      </c>
      <c r="J259" t="str">
        <f t="shared" si="9"/>
        <v/>
      </c>
    </row>
    <row r="260" spans="1:10" x14ac:dyDescent="0.25">
      <c r="A260" t="s">
        <v>1316</v>
      </c>
      <c r="B260" t="s">
        <v>1317</v>
      </c>
      <c r="C260" t="s">
        <v>1012</v>
      </c>
      <c r="D260" t="str">
        <f>_xlfn.XLOOKUP(ISIC_Rev_5_english_structure__1[[#This Row],[Column4]],INDUSTRYGROUP!$C$2:$C$23,INDUSTRYGROUP!$D$2:$D$23,"NONE")</f>
        <v>Manufacturing</v>
      </c>
      <c r="E260" t="str">
        <f>_xlfn.XLOOKUP(LEFT(A260,2),SECTOR!$A$2:$A$88,SECTOR!$A$2:$A$88,"")</f>
        <v/>
      </c>
      <c r="F260" t="str">
        <f>_xlfn.XLOOKUP(LEFT(A260,2),SECTOR!$A$2:$A$88,SECTOR!$B$2:$B$88,"")</f>
        <v/>
      </c>
      <c r="G260" t="str">
        <f>_xlfn.XLOOKUP(LEFT(A260,3),INDUSTRY!$A$2:$A$259,INDUSTRY!$A$2:$A$259,"")</f>
        <v>281</v>
      </c>
      <c r="H260" t="str">
        <f>_xlfn.XLOOKUP(LEFT(A260,3),INDUSTRY!$A$2:$A$259,INDUSTRY!$B$2:$B$259,"")</f>
        <v>Manufacture of general-purpose machinery</v>
      </c>
      <c r="I260" t="str">
        <f t="shared" si="8"/>
        <v/>
      </c>
      <c r="J260" t="str">
        <f t="shared" si="9"/>
        <v/>
      </c>
    </row>
    <row r="261" spans="1:10" x14ac:dyDescent="0.25">
      <c r="A261" t="s">
        <v>1318</v>
      </c>
      <c r="B261" t="s">
        <v>1319</v>
      </c>
      <c r="C261" t="s">
        <v>1012</v>
      </c>
      <c r="D261" t="str">
        <f>_xlfn.XLOOKUP(ISIC_Rev_5_english_structure__1[[#This Row],[Column4]],INDUSTRYGROUP!$C$2:$C$23,INDUSTRYGROUP!$D$2:$D$23,"NONE")</f>
        <v>Manufacturing</v>
      </c>
      <c r="E261" t="str">
        <f>_xlfn.XLOOKUP(LEFT(A261,2),SECTOR!$A$2:$A$88,SECTOR!$A$2:$A$88,"")</f>
        <v/>
      </c>
      <c r="F261" t="str">
        <f>_xlfn.XLOOKUP(LEFT(A261,2),SECTOR!$A$2:$A$88,SECTOR!$B$2:$B$88,"")</f>
        <v/>
      </c>
      <c r="G261" t="str">
        <f>_xlfn.XLOOKUP(LEFT(A261,3),INDUSTRY!$A$2:$A$259,INDUSTRY!$A$2:$A$259,"")</f>
        <v>281</v>
      </c>
      <c r="H261" t="str">
        <f>_xlfn.XLOOKUP(LEFT(A261,3),INDUSTRY!$A$2:$A$259,INDUSTRY!$B$2:$B$259,"")</f>
        <v>Manufacture of general-purpose machinery</v>
      </c>
      <c r="I261" t="str">
        <f t="shared" si="8"/>
        <v>2811</v>
      </c>
      <c r="J261" t="str">
        <f t="shared" si="9"/>
        <v>Manufacture of engines and turbines, except aircraft, vehicle and cycle engines</v>
      </c>
    </row>
    <row r="262" spans="1:10" x14ac:dyDescent="0.25">
      <c r="A262" t="s">
        <v>1320</v>
      </c>
      <c r="B262" t="s">
        <v>1321</v>
      </c>
      <c r="C262" t="s">
        <v>1012</v>
      </c>
      <c r="D262" t="str">
        <f>_xlfn.XLOOKUP(ISIC_Rev_5_english_structure__1[[#This Row],[Column4]],INDUSTRYGROUP!$C$2:$C$23,INDUSTRYGROUP!$D$2:$D$23,"NONE")</f>
        <v>Manufacturing</v>
      </c>
      <c r="E262" t="str">
        <f>_xlfn.XLOOKUP(LEFT(A262,2),SECTOR!$A$2:$A$88,SECTOR!$A$2:$A$88,"")</f>
        <v/>
      </c>
      <c r="F262" t="str">
        <f>_xlfn.XLOOKUP(LEFT(A262,2),SECTOR!$A$2:$A$88,SECTOR!$B$2:$B$88,"")</f>
        <v/>
      </c>
      <c r="G262" t="str">
        <f>_xlfn.XLOOKUP(LEFT(A262,3),INDUSTRY!$A$2:$A$259,INDUSTRY!$A$2:$A$259,"")</f>
        <v>281</v>
      </c>
      <c r="H262" t="str">
        <f>_xlfn.XLOOKUP(LEFT(A262,3),INDUSTRY!$A$2:$A$259,INDUSTRY!$B$2:$B$259,"")</f>
        <v>Manufacture of general-purpose machinery</v>
      </c>
      <c r="I262" t="str">
        <f t="shared" si="8"/>
        <v>2812</v>
      </c>
      <c r="J262" t="str">
        <f t="shared" si="9"/>
        <v>Manufacture of fluid power equipment</v>
      </c>
    </row>
    <row r="263" spans="1:10" x14ac:dyDescent="0.25">
      <c r="A263" t="s">
        <v>1322</v>
      </c>
      <c r="B263" t="s">
        <v>1323</v>
      </c>
      <c r="C263" t="s">
        <v>1012</v>
      </c>
      <c r="D263" t="str">
        <f>_xlfn.XLOOKUP(ISIC_Rev_5_english_structure__1[[#This Row],[Column4]],INDUSTRYGROUP!$C$2:$C$23,INDUSTRYGROUP!$D$2:$D$23,"NONE")</f>
        <v>Manufacturing</v>
      </c>
      <c r="E263" t="str">
        <f>_xlfn.XLOOKUP(LEFT(A263,2),SECTOR!$A$2:$A$88,SECTOR!$A$2:$A$88,"")</f>
        <v/>
      </c>
      <c r="F263" t="str">
        <f>_xlfn.XLOOKUP(LEFT(A263,2),SECTOR!$A$2:$A$88,SECTOR!$B$2:$B$88,"")</f>
        <v/>
      </c>
      <c r="G263" t="str">
        <f>_xlfn.XLOOKUP(LEFT(A263,3),INDUSTRY!$A$2:$A$259,INDUSTRY!$A$2:$A$259,"")</f>
        <v>281</v>
      </c>
      <c r="H263" t="str">
        <f>_xlfn.XLOOKUP(LEFT(A263,3),INDUSTRY!$A$2:$A$259,INDUSTRY!$B$2:$B$259,"")</f>
        <v>Manufacture of general-purpose machinery</v>
      </c>
      <c r="I263" t="str">
        <f t="shared" si="8"/>
        <v>2813</v>
      </c>
      <c r="J263" t="str">
        <f t="shared" si="9"/>
        <v>Manufacture of other pumps, compressors, taps and valves</v>
      </c>
    </row>
    <row r="264" spans="1:10" x14ac:dyDescent="0.25">
      <c r="A264" t="s">
        <v>1324</v>
      </c>
      <c r="B264" t="s">
        <v>1325</v>
      </c>
      <c r="C264" t="s">
        <v>1012</v>
      </c>
      <c r="D264" t="str">
        <f>_xlfn.XLOOKUP(ISIC_Rev_5_english_structure__1[[#This Row],[Column4]],INDUSTRYGROUP!$C$2:$C$23,INDUSTRYGROUP!$D$2:$D$23,"NONE")</f>
        <v>Manufacturing</v>
      </c>
      <c r="E264" t="str">
        <f>_xlfn.XLOOKUP(LEFT(A264,2),SECTOR!$A$2:$A$88,SECTOR!$A$2:$A$88,"")</f>
        <v/>
      </c>
      <c r="F264" t="str">
        <f>_xlfn.XLOOKUP(LEFT(A264,2),SECTOR!$A$2:$A$88,SECTOR!$B$2:$B$88,"")</f>
        <v/>
      </c>
      <c r="G264" t="str">
        <f>_xlfn.XLOOKUP(LEFT(A264,3),INDUSTRY!$A$2:$A$259,INDUSTRY!$A$2:$A$259,"")</f>
        <v>281</v>
      </c>
      <c r="H264" t="str">
        <f>_xlfn.XLOOKUP(LEFT(A264,3),INDUSTRY!$A$2:$A$259,INDUSTRY!$B$2:$B$259,"")</f>
        <v>Manufacture of general-purpose machinery</v>
      </c>
      <c r="I264" t="str">
        <f t="shared" si="8"/>
        <v>2814</v>
      </c>
      <c r="J264" t="str">
        <f t="shared" si="9"/>
        <v>Manufacture of bearings, gears, gearing and driving elements</v>
      </c>
    </row>
    <row r="265" spans="1:10" x14ac:dyDescent="0.25">
      <c r="A265" t="s">
        <v>1326</v>
      </c>
      <c r="B265" t="s">
        <v>1327</v>
      </c>
      <c r="C265" t="s">
        <v>1012</v>
      </c>
      <c r="D265" t="str">
        <f>_xlfn.XLOOKUP(ISIC_Rev_5_english_structure__1[[#This Row],[Column4]],INDUSTRYGROUP!$C$2:$C$23,INDUSTRYGROUP!$D$2:$D$23,"NONE")</f>
        <v>Manufacturing</v>
      </c>
      <c r="E265" t="str">
        <f>_xlfn.XLOOKUP(LEFT(A265,2),SECTOR!$A$2:$A$88,SECTOR!$A$2:$A$88,"")</f>
        <v/>
      </c>
      <c r="F265" t="str">
        <f>_xlfn.XLOOKUP(LEFT(A265,2),SECTOR!$A$2:$A$88,SECTOR!$B$2:$B$88,"")</f>
        <v/>
      </c>
      <c r="G265" t="str">
        <f>_xlfn.XLOOKUP(LEFT(A265,3),INDUSTRY!$A$2:$A$259,INDUSTRY!$A$2:$A$259,"")</f>
        <v>281</v>
      </c>
      <c r="H265" t="str">
        <f>_xlfn.XLOOKUP(LEFT(A265,3),INDUSTRY!$A$2:$A$259,INDUSTRY!$B$2:$B$259,"")</f>
        <v>Manufacture of general-purpose machinery</v>
      </c>
      <c r="I265" t="str">
        <f t="shared" si="8"/>
        <v>2815</v>
      </c>
      <c r="J265" t="str">
        <f t="shared" si="9"/>
        <v>Manufacture of ovens, furnaces and permanent household heating equipment</v>
      </c>
    </row>
    <row r="266" spans="1:10" x14ac:dyDescent="0.25">
      <c r="A266" t="s">
        <v>1328</v>
      </c>
      <c r="B266" t="s">
        <v>1329</v>
      </c>
      <c r="C266" t="s">
        <v>1012</v>
      </c>
      <c r="D266" t="str">
        <f>_xlfn.XLOOKUP(ISIC_Rev_5_english_structure__1[[#This Row],[Column4]],INDUSTRYGROUP!$C$2:$C$23,INDUSTRYGROUP!$D$2:$D$23,"NONE")</f>
        <v>Manufacturing</v>
      </c>
      <c r="E266" t="str">
        <f>_xlfn.XLOOKUP(LEFT(A266,2),SECTOR!$A$2:$A$88,SECTOR!$A$2:$A$88,"")</f>
        <v/>
      </c>
      <c r="F266" t="str">
        <f>_xlfn.XLOOKUP(LEFT(A266,2),SECTOR!$A$2:$A$88,SECTOR!$B$2:$B$88,"")</f>
        <v/>
      </c>
      <c r="G266" t="str">
        <f>_xlfn.XLOOKUP(LEFT(A266,3),INDUSTRY!$A$2:$A$259,INDUSTRY!$A$2:$A$259,"")</f>
        <v>281</v>
      </c>
      <c r="H266" t="str">
        <f>_xlfn.XLOOKUP(LEFT(A266,3),INDUSTRY!$A$2:$A$259,INDUSTRY!$B$2:$B$259,"")</f>
        <v>Manufacture of general-purpose machinery</v>
      </c>
      <c r="I266" t="str">
        <f t="shared" si="8"/>
        <v>2816</v>
      </c>
      <c r="J266" t="str">
        <f t="shared" si="9"/>
        <v>Manufacture of lifting and handling equipment</v>
      </c>
    </row>
    <row r="267" spans="1:10" x14ac:dyDescent="0.25">
      <c r="A267" t="s">
        <v>1330</v>
      </c>
      <c r="B267" t="s">
        <v>1331</v>
      </c>
      <c r="C267" t="s">
        <v>1012</v>
      </c>
      <c r="D267" t="str">
        <f>_xlfn.XLOOKUP(ISIC_Rev_5_english_structure__1[[#This Row],[Column4]],INDUSTRYGROUP!$C$2:$C$23,INDUSTRYGROUP!$D$2:$D$23,"NONE")</f>
        <v>Manufacturing</v>
      </c>
      <c r="E267" t="str">
        <f>_xlfn.XLOOKUP(LEFT(A267,2),SECTOR!$A$2:$A$88,SECTOR!$A$2:$A$88,"")</f>
        <v/>
      </c>
      <c r="F267" t="str">
        <f>_xlfn.XLOOKUP(LEFT(A267,2),SECTOR!$A$2:$A$88,SECTOR!$B$2:$B$88,"")</f>
        <v/>
      </c>
      <c r="G267" t="str">
        <f>_xlfn.XLOOKUP(LEFT(A267,3),INDUSTRY!$A$2:$A$259,INDUSTRY!$A$2:$A$259,"")</f>
        <v>281</v>
      </c>
      <c r="H267" t="str">
        <f>_xlfn.XLOOKUP(LEFT(A267,3),INDUSTRY!$A$2:$A$259,INDUSTRY!$B$2:$B$259,"")</f>
        <v>Manufacture of general-purpose machinery</v>
      </c>
      <c r="I267" t="str">
        <f t="shared" si="8"/>
        <v>2817</v>
      </c>
      <c r="J267" t="str">
        <f t="shared" si="9"/>
        <v>Manufacture of office machinery and equipment (except computers and peripheral equipment)</v>
      </c>
    </row>
    <row r="268" spans="1:10" x14ac:dyDescent="0.25">
      <c r="A268" t="s">
        <v>1332</v>
      </c>
      <c r="B268" t="s">
        <v>1333</v>
      </c>
      <c r="C268" t="s">
        <v>1012</v>
      </c>
      <c r="D268" t="str">
        <f>_xlfn.XLOOKUP(ISIC_Rev_5_english_structure__1[[#This Row],[Column4]],INDUSTRYGROUP!$C$2:$C$23,INDUSTRYGROUP!$D$2:$D$23,"NONE")</f>
        <v>Manufacturing</v>
      </c>
      <c r="E268" t="str">
        <f>_xlfn.XLOOKUP(LEFT(A268,2),SECTOR!$A$2:$A$88,SECTOR!$A$2:$A$88,"")</f>
        <v/>
      </c>
      <c r="F268" t="str">
        <f>_xlfn.XLOOKUP(LEFT(A268,2),SECTOR!$A$2:$A$88,SECTOR!$B$2:$B$88,"")</f>
        <v/>
      </c>
      <c r="G268" t="str">
        <f>_xlfn.XLOOKUP(LEFT(A268,3),INDUSTRY!$A$2:$A$259,INDUSTRY!$A$2:$A$259,"")</f>
        <v>281</v>
      </c>
      <c r="H268" t="str">
        <f>_xlfn.XLOOKUP(LEFT(A268,3),INDUSTRY!$A$2:$A$259,INDUSTRY!$B$2:$B$259,"")</f>
        <v>Manufacture of general-purpose machinery</v>
      </c>
      <c r="I268" t="str">
        <f t="shared" si="8"/>
        <v>2818</v>
      </c>
      <c r="J268" t="str">
        <f t="shared" si="9"/>
        <v>Manufacture of power-driven hand tools</v>
      </c>
    </row>
    <row r="269" spans="1:10" x14ac:dyDescent="0.25">
      <c r="A269" t="s">
        <v>1334</v>
      </c>
      <c r="B269" t="s">
        <v>1335</v>
      </c>
      <c r="C269" t="s">
        <v>1012</v>
      </c>
      <c r="D269" t="str">
        <f>_xlfn.XLOOKUP(ISIC_Rev_5_english_structure__1[[#This Row],[Column4]],INDUSTRYGROUP!$C$2:$C$23,INDUSTRYGROUP!$D$2:$D$23,"NONE")</f>
        <v>Manufacturing</v>
      </c>
      <c r="E269" t="str">
        <f>_xlfn.XLOOKUP(LEFT(A269,2),SECTOR!$A$2:$A$88,SECTOR!$A$2:$A$88,"")</f>
        <v/>
      </c>
      <c r="F269" t="str">
        <f>_xlfn.XLOOKUP(LEFT(A269,2),SECTOR!$A$2:$A$88,SECTOR!$B$2:$B$88,"")</f>
        <v/>
      </c>
      <c r="G269" t="str">
        <f>_xlfn.XLOOKUP(LEFT(A269,3),INDUSTRY!$A$2:$A$259,INDUSTRY!$A$2:$A$259,"")</f>
        <v>281</v>
      </c>
      <c r="H269" t="str">
        <f>_xlfn.XLOOKUP(LEFT(A269,3),INDUSTRY!$A$2:$A$259,INDUSTRY!$B$2:$B$259,"")</f>
        <v>Manufacture of general-purpose machinery</v>
      </c>
      <c r="I269" t="str">
        <f t="shared" si="8"/>
        <v>2819</v>
      </c>
      <c r="J269" t="str">
        <f t="shared" si="9"/>
        <v>Manufacture of other general-purpose machinery</v>
      </c>
    </row>
    <row r="270" spans="1:10" x14ac:dyDescent="0.25">
      <c r="A270" t="s">
        <v>1336</v>
      </c>
      <c r="B270" t="s">
        <v>1337</v>
      </c>
      <c r="C270" t="s">
        <v>1012</v>
      </c>
      <c r="D270" t="str">
        <f>_xlfn.XLOOKUP(ISIC_Rev_5_english_structure__1[[#This Row],[Column4]],INDUSTRYGROUP!$C$2:$C$23,INDUSTRYGROUP!$D$2:$D$23,"NONE")</f>
        <v>Manufacturing</v>
      </c>
      <c r="E270" t="str">
        <f>_xlfn.XLOOKUP(LEFT(A270,2),SECTOR!$A$2:$A$88,SECTOR!$A$2:$A$88,"")</f>
        <v/>
      </c>
      <c r="F270" t="str">
        <f>_xlfn.XLOOKUP(LEFT(A270,2),SECTOR!$A$2:$A$88,SECTOR!$B$2:$B$88,"")</f>
        <v/>
      </c>
      <c r="G270" t="str">
        <f>_xlfn.XLOOKUP(LEFT(A270,3),INDUSTRY!$A$2:$A$259,INDUSTRY!$A$2:$A$259,"")</f>
        <v>282</v>
      </c>
      <c r="H270" t="str">
        <f>_xlfn.XLOOKUP(LEFT(A270,3),INDUSTRY!$A$2:$A$259,INDUSTRY!$B$2:$B$259,"")</f>
        <v>Manufacture of special-purpose machinery</v>
      </c>
      <c r="I270" t="str">
        <f t="shared" si="8"/>
        <v/>
      </c>
      <c r="J270" t="str">
        <f t="shared" si="9"/>
        <v/>
      </c>
    </row>
    <row r="271" spans="1:10" x14ac:dyDescent="0.25">
      <c r="A271" t="s">
        <v>1338</v>
      </c>
      <c r="B271" t="s">
        <v>1339</v>
      </c>
      <c r="C271" t="s">
        <v>1012</v>
      </c>
      <c r="D271" t="str">
        <f>_xlfn.XLOOKUP(ISIC_Rev_5_english_structure__1[[#This Row],[Column4]],INDUSTRYGROUP!$C$2:$C$23,INDUSTRYGROUP!$D$2:$D$23,"NONE")</f>
        <v>Manufacturing</v>
      </c>
      <c r="E271" t="str">
        <f>_xlfn.XLOOKUP(LEFT(A271,2),SECTOR!$A$2:$A$88,SECTOR!$A$2:$A$88,"")</f>
        <v/>
      </c>
      <c r="F271" t="str">
        <f>_xlfn.XLOOKUP(LEFT(A271,2),SECTOR!$A$2:$A$88,SECTOR!$B$2:$B$88,"")</f>
        <v/>
      </c>
      <c r="G271" t="str">
        <f>_xlfn.XLOOKUP(LEFT(A271,3),INDUSTRY!$A$2:$A$259,INDUSTRY!$A$2:$A$259,"")</f>
        <v>282</v>
      </c>
      <c r="H271" t="str">
        <f>_xlfn.XLOOKUP(LEFT(A271,3),INDUSTRY!$A$2:$A$259,INDUSTRY!$B$2:$B$259,"")</f>
        <v>Manufacture of special-purpose machinery</v>
      </c>
      <c r="I271" t="str">
        <f t="shared" si="8"/>
        <v>2821</v>
      </c>
      <c r="J271" t="str">
        <f t="shared" si="9"/>
        <v>Manufacture of agricultural and forestry machinery</v>
      </c>
    </row>
    <row r="272" spans="1:10" x14ac:dyDescent="0.25">
      <c r="A272" t="s">
        <v>1340</v>
      </c>
      <c r="B272" t="s">
        <v>1341</v>
      </c>
      <c r="C272" t="s">
        <v>1012</v>
      </c>
      <c r="D272" t="str">
        <f>_xlfn.XLOOKUP(ISIC_Rev_5_english_structure__1[[#This Row],[Column4]],INDUSTRYGROUP!$C$2:$C$23,INDUSTRYGROUP!$D$2:$D$23,"NONE")</f>
        <v>Manufacturing</v>
      </c>
      <c r="E272" t="str">
        <f>_xlfn.XLOOKUP(LEFT(A272,2),SECTOR!$A$2:$A$88,SECTOR!$A$2:$A$88,"")</f>
        <v/>
      </c>
      <c r="F272" t="str">
        <f>_xlfn.XLOOKUP(LEFT(A272,2),SECTOR!$A$2:$A$88,SECTOR!$B$2:$B$88,"")</f>
        <v/>
      </c>
      <c r="G272" t="str">
        <f>_xlfn.XLOOKUP(LEFT(A272,3),INDUSTRY!$A$2:$A$259,INDUSTRY!$A$2:$A$259,"")</f>
        <v>282</v>
      </c>
      <c r="H272" t="str">
        <f>_xlfn.XLOOKUP(LEFT(A272,3),INDUSTRY!$A$2:$A$259,INDUSTRY!$B$2:$B$259,"")</f>
        <v>Manufacture of special-purpose machinery</v>
      </c>
      <c r="I272" t="str">
        <f t="shared" si="8"/>
        <v>2822</v>
      </c>
      <c r="J272" t="str">
        <f t="shared" si="9"/>
        <v>Manufacture of metal-forming machinery and machine tools</v>
      </c>
    </row>
    <row r="273" spans="1:10" x14ac:dyDescent="0.25">
      <c r="A273" t="s">
        <v>1342</v>
      </c>
      <c r="B273" t="s">
        <v>1343</v>
      </c>
      <c r="C273" t="s">
        <v>1012</v>
      </c>
      <c r="D273" t="str">
        <f>_xlfn.XLOOKUP(ISIC_Rev_5_english_structure__1[[#This Row],[Column4]],INDUSTRYGROUP!$C$2:$C$23,INDUSTRYGROUP!$D$2:$D$23,"NONE")</f>
        <v>Manufacturing</v>
      </c>
      <c r="E273" t="str">
        <f>_xlfn.XLOOKUP(LEFT(A273,2),SECTOR!$A$2:$A$88,SECTOR!$A$2:$A$88,"")</f>
        <v/>
      </c>
      <c r="F273" t="str">
        <f>_xlfn.XLOOKUP(LEFT(A273,2),SECTOR!$A$2:$A$88,SECTOR!$B$2:$B$88,"")</f>
        <v/>
      </c>
      <c r="G273" t="str">
        <f>_xlfn.XLOOKUP(LEFT(A273,3),INDUSTRY!$A$2:$A$259,INDUSTRY!$A$2:$A$259,"")</f>
        <v>282</v>
      </c>
      <c r="H273" t="str">
        <f>_xlfn.XLOOKUP(LEFT(A273,3),INDUSTRY!$A$2:$A$259,INDUSTRY!$B$2:$B$259,"")</f>
        <v>Manufacture of special-purpose machinery</v>
      </c>
      <c r="I273" t="str">
        <f t="shared" si="8"/>
        <v>2823</v>
      </c>
      <c r="J273" t="str">
        <f t="shared" si="9"/>
        <v>Manufacture of machinery for metallurgy</v>
      </c>
    </row>
    <row r="274" spans="1:10" x14ac:dyDescent="0.25">
      <c r="A274" t="s">
        <v>1344</v>
      </c>
      <c r="B274" t="s">
        <v>1345</v>
      </c>
      <c r="C274" t="s">
        <v>1012</v>
      </c>
      <c r="D274" t="str">
        <f>_xlfn.XLOOKUP(ISIC_Rev_5_english_structure__1[[#This Row],[Column4]],INDUSTRYGROUP!$C$2:$C$23,INDUSTRYGROUP!$D$2:$D$23,"NONE")</f>
        <v>Manufacturing</v>
      </c>
      <c r="E274" t="str">
        <f>_xlfn.XLOOKUP(LEFT(A274,2),SECTOR!$A$2:$A$88,SECTOR!$A$2:$A$88,"")</f>
        <v/>
      </c>
      <c r="F274" t="str">
        <f>_xlfn.XLOOKUP(LEFT(A274,2),SECTOR!$A$2:$A$88,SECTOR!$B$2:$B$88,"")</f>
        <v/>
      </c>
      <c r="G274" t="str">
        <f>_xlfn.XLOOKUP(LEFT(A274,3),INDUSTRY!$A$2:$A$259,INDUSTRY!$A$2:$A$259,"")</f>
        <v>282</v>
      </c>
      <c r="H274" t="str">
        <f>_xlfn.XLOOKUP(LEFT(A274,3),INDUSTRY!$A$2:$A$259,INDUSTRY!$B$2:$B$259,"")</f>
        <v>Manufacture of special-purpose machinery</v>
      </c>
      <c r="I274" t="str">
        <f t="shared" si="8"/>
        <v>2824</v>
      </c>
      <c r="J274" t="str">
        <f t="shared" si="9"/>
        <v>Manufacture of machinery for mining, quarrying and construction</v>
      </c>
    </row>
    <row r="275" spans="1:10" x14ac:dyDescent="0.25">
      <c r="A275" t="s">
        <v>1346</v>
      </c>
      <c r="B275" t="s">
        <v>1347</v>
      </c>
      <c r="C275" t="s">
        <v>1012</v>
      </c>
      <c r="D275" t="str">
        <f>_xlfn.XLOOKUP(ISIC_Rev_5_english_structure__1[[#This Row],[Column4]],INDUSTRYGROUP!$C$2:$C$23,INDUSTRYGROUP!$D$2:$D$23,"NONE")</f>
        <v>Manufacturing</v>
      </c>
      <c r="E275" t="str">
        <f>_xlfn.XLOOKUP(LEFT(A275,2),SECTOR!$A$2:$A$88,SECTOR!$A$2:$A$88,"")</f>
        <v/>
      </c>
      <c r="F275" t="str">
        <f>_xlfn.XLOOKUP(LEFT(A275,2),SECTOR!$A$2:$A$88,SECTOR!$B$2:$B$88,"")</f>
        <v/>
      </c>
      <c r="G275" t="str">
        <f>_xlfn.XLOOKUP(LEFT(A275,3),INDUSTRY!$A$2:$A$259,INDUSTRY!$A$2:$A$259,"")</f>
        <v>282</v>
      </c>
      <c r="H275" t="str">
        <f>_xlfn.XLOOKUP(LEFT(A275,3),INDUSTRY!$A$2:$A$259,INDUSTRY!$B$2:$B$259,"")</f>
        <v>Manufacture of special-purpose machinery</v>
      </c>
      <c r="I275" t="str">
        <f t="shared" si="8"/>
        <v>2825</v>
      </c>
      <c r="J275" t="str">
        <f t="shared" si="9"/>
        <v>Manufacture of machinery for food, beverage and tobacco processing</v>
      </c>
    </row>
    <row r="276" spans="1:10" x14ac:dyDescent="0.25">
      <c r="A276" t="s">
        <v>1348</v>
      </c>
      <c r="B276" t="s">
        <v>1349</v>
      </c>
      <c r="C276" t="s">
        <v>1012</v>
      </c>
      <c r="D276" t="str">
        <f>_xlfn.XLOOKUP(ISIC_Rev_5_english_structure__1[[#This Row],[Column4]],INDUSTRYGROUP!$C$2:$C$23,INDUSTRYGROUP!$D$2:$D$23,"NONE")</f>
        <v>Manufacturing</v>
      </c>
      <c r="E276" t="str">
        <f>_xlfn.XLOOKUP(LEFT(A276,2),SECTOR!$A$2:$A$88,SECTOR!$A$2:$A$88,"")</f>
        <v/>
      </c>
      <c r="F276" t="str">
        <f>_xlfn.XLOOKUP(LEFT(A276,2),SECTOR!$A$2:$A$88,SECTOR!$B$2:$B$88,"")</f>
        <v/>
      </c>
      <c r="G276" t="str">
        <f>_xlfn.XLOOKUP(LEFT(A276,3),INDUSTRY!$A$2:$A$259,INDUSTRY!$A$2:$A$259,"")</f>
        <v>282</v>
      </c>
      <c r="H276" t="str">
        <f>_xlfn.XLOOKUP(LEFT(A276,3),INDUSTRY!$A$2:$A$259,INDUSTRY!$B$2:$B$259,"")</f>
        <v>Manufacture of special-purpose machinery</v>
      </c>
      <c r="I276" t="str">
        <f t="shared" si="8"/>
        <v>2826</v>
      </c>
      <c r="J276" t="str">
        <f t="shared" si="9"/>
        <v>Manufacture of machinery for textile, apparel and leather production</v>
      </c>
    </row>
    <row r="277" spans="1:10" x14ac:dyDescent="0.25">
      <c r="A277" t="s">
        <v>1350</v>
      </c>
      <c r="B277" t="s">
        <v>1351</v>
      </c>
      <c r="C277" t="s">
        <v>1012</v>
      </c>
      <c r="D277" t="str">
        <f>_xlfn.XLOOKUP(ISIC_Rev_5_english_structure__1[[#This Row],[Column4]],INDUSTRYGROUP!$C$2:$C$23,INDUSTRYGROUP!$D$2:$D$23,"NONE")</f>
        <v>Manufacturing</v>
      </c>
      <c r="E277" t="str">
        <f>_xlfn.XLOOKUP(LEFT(A277,2),SECTOR!$A$2:$A$88,SECTOR!$A$2:$A$88,"")</f>
        <v/>
      </c>
      <c r="F277" t="str">
        <f>_xlfn.XLOOKUP(LEFT(A277,2),SECTOR!$A$2:$A$88,SECTOR!$B$2:$B$88,"")</f>
        <v/>
      </c>
      <c r="G277" t="str">
        <f>_xlfn.XLOOKUP(LEFT(A277,3),INDUSTRY!$A$2:$A$259,INDUSTRY!$A$2:$A$259,"")</f>
        <v>282</v>
      </c>
      <c r="H277" t="str">
        <f>_xlfn.XLOOKUP(LEFT(A277,3),INDUSTRY!$A$2:$A$259,INDUSTRY!$B$2:$B$259,"")</f>
        <v>Manufacture of special-purpose machinery</v>
      </c>
      <c r="I277" t="str">
        <f t="shared" si="8"/>
        <v>2829</v>
      </c>
      <c r="J277" t="str">
        <f t="shared" si="9"/>
        <v>Manufacture of other special-purpose machinery</v>
      </c>
    </row>
    <row r="278" spans="1:10" x14ac:dyDescent="0.25">
      <c r="A278" t="s">
        <v>1352</v>
      </c>
      <c r="B278" t="s">
        <v>1353</v>
      </c>
      <c r="C278" t="s">
        <v>1012</v>
      </c>
      <c r="D278" t="str">
        <f>_xlfn.XLOOKUP(ISIC_Rev_5_english_structure__1[[#This Row],[Column4]],INDUSTRYGROUP!$C$2:$C$23,INDUSTRYGROUP!$D$2:$D$23,"NONE")</f>
        <v>Manufacturing</v>
      </c>
      <c r="E278" t="str">
        <f>_xlfn.XLOOKUP(LEFT(A278,2),SECTOR!$A$2:$A$88,SECTOR!$A$2:$A$88,"")</f>
        <v/>
      </c>
      <c r="F278" t="str">
        <f>_xlfn.XLOOKUP(LEFT(A278,2),SECTOR!$A$2:$A$88,SECTOR!$B$2:$B$88,"")</f>
        <v/>
      </c>
      <c r="G278" t="str">
        <f>_xlfn.XLOOKUP(LEFT(A278,3),INDUSTRY!$A$2:$A$259,INDUSTRY!$A$2:$A$259,"")</f>
        <v/>
      </c>
      <c r="H278" t="str">
        <f>_xlfn.XLOOKUP(LEFT(A278,3),INDUSTRY!$A$2:$A$259,INDUSTRY!$B$2:$B$259,"")</f>
        <v/>
      </c>
      <c r="I278" t="str">
        <f t="shared" si="8"/>
        <v/>
      </c>
      <c r="J278" t="str">
        <f t="shared" si="9"/>
        <v/>
      </c>
    </row>
    <row r="279" spans="1:10" x14ac:dyDescent="0.25">
      <c r="A279" t="s">
        <v>1354</v>
      </c>
      <c r="B279" t="s">
        <v>1355</v>
      </c>
      <c r="C279" t="s">
        <v>1012</v>
      </c>
      <c r="D279" t="str">
        <f>_xlfn.XLOOKUP(ISIC_Rev_5_english_structure__1[[#This Row],[Column4]],INDUSTRYGROUP!$C$2:$C$23,INDUSTRYGROUP!$D$2:$D$23,"NONE")</f>
        <v>Manufacturing</v>
      </c>
      <c r="E279" t="str">
        <f>_xlfn.XLOOKUP(LEFT(A279,2),SECTOR!$A$2:$A$88,SECTOR!$A$2:$A$88,"")</f>
        <v/>
      </c>
      <c r="F279" t="str">
        <f>_xlfn.XLOOKUP(LEFT(A279,2),SECTOR!$A$2:$A$88,SECTOR!$B$2:$B$88,"")</f>
        <v/>
      </c>
      <c r="G279" t="str">
        <f>_xlfn.XLOOKUP(LEFT(A279,3),INDUSTRY!$A$2:$A$259,INDUSTRY!$A$2:$A$259,"")</f>
        <v>291</v>
      </c>
      <c r="H279" t="str">
        <f>_xlfn.XLOOKUP(LEFT(A279,3),INDUSTRY!$A$2:$A$259,INDUSTRY!$B$2:$B$259,"")</f>
        <v>Manufacture of motor vehicles</v>
      </c>
      <c r="I279" t="str">
        <f t="shared" si="8"/>
        <v/>
      </c>
      <c r="J279" t="str">
        <f t="shared" si="9"/>
        <v/>
      </c>
    </row>
    <row r="280" spans="1:10" x14ac:dyDescent="0.25">
      <c r="A280" t="s">
        <v>1356</v>
      </c>
      <c r="B280" t="s">
        <v>1355</v>
      </c>
      <c r="C280" t="s">
        <v>1012</v>
      </c>
      <c r="D280" t="str">
        <f>_xlfn.XLOOKUP(ISIC_Rev_5_english_structure__1[[#This Row],[Column4]],INDUSTRYGROUP!$C$2:$C$23,INDUSTRYGROUP!$D$2:$D$23,"NONE")</f>
        <v>Manufacturing</v>
      </c>
      <c r="E280" t="str">
        <f>_xlfn.XLOOKUP(LEFT(A280,2),SECTOR!$A$2:$A$88,SECTOR!$A$2:$A$88,"")</f>
        <v/>
      </c>
      <c r="F280" t="str">
        <f>_xlfn.XLOOKUP(LEFT(A280,2),SECTOR!$A$2:$A$88,SECTOR!$B$2:$B$88,"")</f>
        <v/>
      </c>
      <c r="G280" t="str">
        <f>_xlfn.XLOOKUP(LEFT(A280,3),INDUSTRY!$A$2:$A$259,INDUSTRY!$A$2:$A$259,"")</f>
        <v>291</v>
      </c>
      <c r="H280" t="str">
        <f>_xlfn.XLOOKUP(LEFT(A280,3),INDUSTRY!$A$2:$A$259,INDUSTRY!$B$2:$B$259,"")</f>
        <v>Manufacture of motor vehicles</v>
      </c>
      <c r="I280" t="str">
        <f t="shared" si="8"/>
        <v>2910</v>
      </c>
      <c r="J280" t="str">
        <f t="shared" si="9"/>
        <v>Manufacture of motor vehicles</v>
      </c>
    </row>
    <row r="281" spans="1:10" x14ac:dyDescent="0.25">
      <c r="A281" t="s">
        <v>1357</v>
      </c>
      <c r="B281" t="s">
        <v>1358</v>
      </c>
      <c r="C281" t="s">
        <v>1012</v>
      </c>
      <c r="D281" t="str">
        <f>_xlfn.XLOOKUP(ISIC_Rev_5_english_structure__1[[#This Row],[Column4]],INDUSTRYGROUP!$C$2:$C$23,INDUSTRYGROUP!$D$2:$D$23,"NONE")</f>
        <v>Manufacturing</v>
      </c>
      <c r="E281" t="str">
        <f>_xlfn.XLOOKUP(LEFT(A281,2),SECTOR!$A$2:$A$88,SECTOR!$A$2:$A$88,"")</f>
        <v/>
      </c>
      <c r="F281" t="str">
        <f>_xlfn.XLOOKUP(LEFT(A281,2),SECTOR!$A$2:$A$88,SECTOR!$B$2:$B$88,"")</f>
        <v/>
      </c>
      <c r="G281" t="str">
        <f>_xlfn.XLOOKUP(LEFT(A281,3),INDUSTRY!$A$2:$A$259,INDUSTRY!$A$2:$A$259,"")</f>
        <v>292</v>
      </c>
      <c r="H281" t="str">
        <f>_xlfn.XLOOKUP(LEFT(A281,3),INDUSTRY!$A$2:$A$259,INDUSTRY!$B$2:$B$259,"")</f>
        <v>Manufacture of bodies (coachwork) for motor vehicles; manufacture of trailers and semi-trailers</v>
      </c>
      <c r="I281" t="str">
        <f t="shared" si="8"/>
        <v/>
      </c>
      <c r="J281" t="str">
        <f t="shared" si="9"/>
        <v/>
      </c>
    </row>
    <row r="282" spans="1:10" x14ac:dyDescent="0.25">
      <c r="A282" t="s">
        <v>1359</v>
      </c>
      <c r="B282" t="s">
        <v>1358</v>
      </c>
      <c r="C282" t="s">
        <v>1012</v>
      </c>
      <c r="D282" t="str">
        <f>_xlfn.XLOOKUP(ISIC_Rev_5_english_structure__1[[#This Row],[Column4]],INDUSTRYGROUP!$C$2:$C$23,INDUSTRYGROUP!$D$2:$D$23,"NONE")</f>
        <v>Manufacturing</v>
      </c>
      <c r="E282" t="str">
        <f>_xlfn.XLOOKUP(LEFT(A282,2),SECTOR!$A$2:$A$88,SECTOR!$A$2:$A$88,"")</f>
        <v/>
      </c>
      <c r="F282" t="str">
        <f>_xlfn.XLOOKUP(LEFT(A282,2),SECTOR!$A$2:$A$88,SECTOR!$B$2:$B$88,"")</f>
        <v/>
      </c>
      <c r="G282" t="str">
        <f>_xlfn.XLOOKUP(LEFT(A282,3),INDUSTRY!$A$2:$A$259,INDUSTRY!$A$2:$A$259,"")</f>
        <v>292</v>
      </c>
      <c r="H282" t="str">
        <f>_xlfn.XLOOKUP(LEFT(A282,3),INDUSTRY!$A$2:$A$259,INDUSTRY!$B$2:$B$259,"")</f>
        <v>Manufacture of bodies (coachwork) for motor vehicles; manufacture of trailers and semi-trailers</v>
      </c>
      <c r="I282" t="str">
        <f t="shared" si="8"/>
        <v>2920</v>
      </c>
      <c r="J282" t="str">
        <f t="shared" si="9"/>
        <v>Manufacture of bodies (coachwork) for motor vehicles; manufacture of trailers and semi-trailers</v>
      </c>
    </row>
    <row r="283" spans="1:10" x14ac:dyDescent="0.25">
      <c r="A283" t="s">
        <v>1360</v>
      </c>
      <c r="B283" t="s">
        <v>1361</v>
      </c>
      <c r="C283" t="s">
        <v>1012</v>
      </c>
      <c r="D283" t="str">
        <f>_xlfn.XLOOKUP(ISIC_Rev_5_english_structure__1[[#This Row],[Column4]],INDUSTRYGROUP!$C$2:$C$23,INDUSTRYGROUP!$D$2:$D$23,"NONE")</f>
        <v>Manufacturing</v>
      </c>
      <c r="E283" t="str">
        <f>_xlfn.XLOOKUP(LEFT(A283,2),SECTOR!$A$2:$A$88,SECTOR!$A$2:$A$88,"")</f>
        <v/>
      </c>
      <c r="F283" t="str">
        <f>_xlfn.XLOOKUP(LEFT(A283,2),SECTOR!$A$2:$A$88,SECTOR!$B$2:$B$88,"")</f>
        <v/>
      </c>
      <c r="G283" t="str">
        <f>_xlfn.XLOOKUP(LEFT(A283,3),INDUSTRY!$A$2:$A$259,INDUSTRY!$A$2:$A$259,"")</f>
        <v>293</v>
      </c>
      <c r="H283" t="str">
        <f>_xlfn.XLOOKUP(LEFT(A283,3),INDUSTRY!$A$2:$A$259,INDUSTRY!$B$2:$B$259,"")</f>
        <v>Manufacture of parts and accessories for motor vehicles</v>
      </c>
      <c r="I283" t="str">
        <f t="shared" si="8"/>
        <v/>
      </c>
      <c r="J283" t="str">
        <f t="shared" si="9"/>
        <v/>
      </c>
    </row>
    <row r="284" spans="1:10" x14ac:dyDescent="0.25">
      <c r="A284" t="s">
        <v>1362</v>
      </c>
      <c r="B284" t="s">
        <v>1361</v>
      </c>
      <c r="C284" t="s">
        <v>1012</v>
      </c>
      <c r="D284" t="str">
        <f>_xlfn.XLOOKUP(ISIC_Rev_5_english_structure__1[[#This Row],[Column4]],INDUSTRYGROUP!$C$2:$C$23,INDUSTRYGROUP!$D$2:$D$23,"NONE")</f>
        <v>Manufacturing</v>
      </c>
      <c r="E284" t="str">
        <f>_xlfn.XLOOKUP(LEFT(A284,2),SECTOR!$A$2:$A$88,SECTOR!$A$2:$A$88,"")</f>
        <v/>
      </c>
      <c r="F284" t="str">
        <f>_xlfn.XLOOKUP(LEFT(A284,2),SECTOR!$A$2:$A$88,SECTOR!$B$2:$B$88,"")</f>
        <v/>
      </c>
      <c r="G284" t="str">
        <f>_xlfn.XLOOKUP(LEFT(A284,3),INDUSTRY!$A$2:$A$259,INDUSTRY!$A$2:$A$259,"")</f>
        <v>293</v>
      </c>
      <c r="H284" t="str">
        <f>_xlfn.XLOOKUP(LEFT(A284,3),INDUSTRY!$A$2:$A$259,INDUSTRY!$B$2:$B$259,"")</f>
        <v>Manufacture of parts and accessories for motor vehicles</v>
      </c>
      <c r="I284" t="str">
        <f t="shared" si="8"/>
        <v>2930</v>
      </c>
      <c r="J284" t="str">
        <f t="shared" si="9"/>
        <v>Manufacture of parts and accessories for motor vehicles</v>
      </c>
    </row>
    <row r="285" spans="1:10" x14ac:dyDescent="0.25">
      <c r="A285" t="s">
        <v>1363</v>
      </c>
      <c r="B285" t="s">
        <v>1364</v>
      </c>
      <c r="C285" t="s">
        <v>1012</v>
      </c>
      <c r="D285" t="str">
        <f>_xlfn.XLOOKUP(ISIC_Rev_5_english_structure__1[[#This Row],[Column4]],INDUSTRYGROUP!$C$2:$C$23,INDUSTRYGROUP!$D$2:$D$23,"NONE")</f>
        <v>Manufacturing</v>
      </c>
      <c r="E285" t="str">
        <f>_xlfn.XLOOKUP(LEFT(A285,2),SECTOR!$A$2:$A$88,SECTOR!$A$2:$A$88,"")</f>
        <v/>
      </c>
      <c r="F285" t="str">
        <f>_xlfn.XLOOKUP(LEFT(A285,2),SECTOR!$A$2:$A$88,SECTOR!$B$2:$B$88,"")</f>
        <v/>
      </c>
      <c r="G285" t="str">
        <f>_xlfn.XLOOKUP(LEFT(A285,3),INDUSTRY!$A$2:$A$259,INDUSTRY!$A$2:$A$259,"")</f>
        <v/>
      </c>
      <c r="H285" t="str">
        <f>_xlfn.XLOOKUP(LEFT(A285,3),INDUSTRY!$A$2:$A$259,INDUSTRY!$B$2:$B$259,"")</f>
        <v/>
      </c>
      <c r="I285" t="str">
        <f t="shared" si="8"/>
        <v/>
      </c>
      <c r="J285" t="str">
        <f t="shared" si="9"/>
        <v/>
      </c>
    </row>
    <row r="286" spans="1:10" x14ac:dyDescent="0.25">
      <c r="A286" t="s">
        <v>1365</v>
      </c>
      <c r="B286" t="s">
        <v>1366</v>
      </c>
      <c r="C286" t="s">
        <v>1012</v>
      </c>
      <c r="D286" t="str">
        <f>_xlfn.XLOOKUP(ISIC_Rev_5_english_structure__1[[#This Row],[Column4]],INDUSTRYGROUP!$C$2:$C$23,INDUSTRYGROUP!$D$2:$D$23,"NONE")</f>
        <v>Manufacturing</v>
      </c>
      <c r="E286" t="str">
        <f>_xlfn.XLOOKUP(LEFT(A286,2),SECTOR!$A$2:$A$88,SECTOR!$A$2:$A$88,"")</f>
        <v/>
      </c>
      <c r="F286" t="str">
        <f>_xlfn.XLOOKUP(LEFT(A286,2),SECTOR!$A$2:$A$88,SECTOR!$B$2:$B$88,"")</f>
        <v/>
      </c>
      <c r="G286" t="str">
        <f>_xlfn.XLOOKUP(LEFT(A286,3),INDUSTRY!$A$2:$A$259,INDUSTRY!$A$2:$A$259,"")</f>
        <v>301</v>
      </c>
      <c r="H286" t="str">
        <f>_xlfn.XLOOKUP(LEFT(A286,3),INDUSTRY!$A$2:$A$259,INDUSTRY!$B$2:$B$259,"")</f>
        <v>Building of ships and boats</v>
      </c>
      <c r="I286" t="str">
        <f t="shared" si="8"/>
        <v/>
      </c>
      <c r="J286" t="str">
        <f t="shared" si="9"/>
        <v/>
      </c>
    </row>
    <row r="287" spans="1:10" x14ac:dyDescent="0.25">
      <c r="A287" t="s">
        <v>1367</v>
      </c>
      <c r="B287" t="s">
        <v>1368</v>
      </c>
      <c r="C287" t="s">
        <v>1012</v>
      </c>
      <c r="D287" t="str">
        <f>_xlfn.XLOOKUP(ISIC_Rev_5_english_structure__1[[#This Row],[Column4]],INDUSTRYGROUP!$C$2:$C$23,INDUSTRYGROUP!$D$2:$D$23,"NONE")</f>
        <v>Manufacturing</v>
      </c>
      <c r="E287" t="str">
        <f>_xlfn.XLOOKUP(LEFT(A287,2),SECTOR!$A$2:$A$88,SECTOR!$A$2:$A$88,"")</f>
        <v/>
      </c>
      <c r="F287" t="str">
        <f>_xlfn.XLOOKUP(LEFT(A287,2),SECTOR!$A$2:$A$88,SECTOR!$B$2:$B$88,"")</f>
        <v/>
      </c>
      <c r="G287" t="str">
        <f>_xlfn.XLOOKUP(LEFT(A287,3),INDUSTRY!$A$2:$A$259,INDUSTRY!$A$2:$A$259,"")</f>
        <v>301</v>
      </c>
      <c r="H287" t="str">
        <f>_xlfn.XLOOKUP(LEFT(A287,3),INDUSTRY!$A$2:$A$259,INDUSTRY!$B$2:$B$259,"")</f>
        <v>Building of ships and boats</v>
      </c>
      <c r="I287" t="str">
        <f t="shared" si="8"/>
        <v>3011</v>
      </c>
      <c r="J287" t="str">
        <f t="shared" si="9"/>
        <v>Building of ships and floating structures</v>
      </c>
    </row>
    <row r="288" spans="1:10" x14ac:dyDescent="0.25">
      <c r="A288" t="s">
        <v>1369</v>
      </c>
      <c r="B288" t="s">
        <v>1370</v>
      </c>
      <c r="C288" t="s">
        <v>1012</v>
      </c>
      <c r="D288" t="str">
        <f>_xlfn.XLOOKUP(ISIC_Rev_5_english_structure__1[[#This Row],[Column4]],INDUSTRYGROUP!$C$2:$C$23,INDUSTRYGROUP!$D$2:$D$23,"NONE")</f>
        <v>Manufacturing</v>
      </c>
      <c r="E288" t="str">
        <f>_xlfn.XLOOKUP(LEFT(A288,2),SECTOR!$A$2:$A$88,SECTOR!$A$2:$A$88,"")</f>
        <v/>
      </c>
      <c r="F288" t="str">
        <f>_xlfn.XLOOKUP(LEFT(A288,2),SECTOR!$A$2:$A$88,SECTOR!$B$2:$B$88,"")</f>
        <v/>
      </c>
      <c r="G288" t="str">
        <f>_xlfn.XLOOKUP(LEFT(A288,3),INDUSTRY!$A$2:$A$259,INDUSTRY!$A$2:$A$259,"")</f>
        <v>301</v>
      </c>
      <c r="H288" t="str">
        <f>_xlfn.XLOOKUP(LEFT(A288,3),INDUSTRY!$A$2:$A$259,INDUSTRY!$B$2:$B$259,"")</f>
        <v>Building of ships and boats</v>
      </c>
      <c r="I288" t="str">
        <f t="shared" si="8"/>
        <v>3012</v>
      </c>
      <c r="J288" t="str">
        <f t="shared" si="9"/>
        <v>Building of pleasure and sporting boats</v>
      </c>
    </row>
    <row r="289" spans="1:10" x14ac:dyDescent="0.25">
      <c r="A289" t="s">
        <v>1371</v>
      </c>
      <c r="B289" t="s">
        <v>1372</v>
      </c>
      <c r="C289" t="s">
        <v>1012</v>
      </c>
      <c r="D289" t="str">
        <f>_xlfn.XLOOKUP(ISIC_Rev_5_english_structure__1[[#This Row],[Column4]],INDUSTRYGROUP!$C$2:$C$23,INDUSTRYGROUP!$D$2:$D$23,"NONE")</f>
        <v>Manufacturing</v>
      </c>
      <c r="E289" t="str">
        <f>_xlfn.XLOOKUP(LEFT(A289,2),SECTOR!$A$2:$A$88,SECTOR!$A$2:$A$88,"")</f>
        <v/>
      </c>
      <c r="F289" t="str">
        <f>_xlfn.XLOOKUP(LEFT(A289,2),SECTOR!$A$2:$A$88,SECTOR!$B$2:$B$88,"")</f>
        <v/>
      </c>
      <c r="G289" t="str">
        <f>_xlfn.XLOOKUP(LEFT(A289,3),INDUSTRY!$A$2:$A$259,INDUSTRY!$A$2:$A$259,"")</f>
        <v>302</v>
      </c>
      <c r="H289" t="str">
        <f>_xlfn.XLOOKUP(LEFT(A289,3),INDUSTRY!$A$2:$A$259,INDUSTRY!$B$2:$B$259,"")</f>
        <v>Manufacture of railway locomotives and rolling stock</v>
      </c>
      <c r="I289" t="str">
        <f t="shared" si="8"/>
        <v/>
      </c>
      <c r="J289" t="str">
        <f t="shared" si="9"/>
        <v/>
      </c>
    </row>
    <row r="290" spans="1:10" x14ac:dyDescent="0.25">
      <c r="A290" t="s">
        <v>1373</v>
      </c>
      <c r="B290" t="s">
        <v>1372</v>
      </c>
      <c r="C290" t="s">
        <v>1012</v>
      </c>
      <c r="D290" t="str">
        <f>_xlfn.XLOOKUP(ISIC_Rev_5_english_structure__1[[#This Row],[Column4]],INDUSTRYGROUP!$C$2:$C$23,INDUSTRYGROUP!$D$2:$D$23,"NONE")</f>
        <v>Manufacturing</v>
      </c>
      <c r="E290" t="str">
        <f>_xlfn.XLOOKUP(LEFT(A290,2),SECTOR!$A$2:$A$88,SECTOR!$A$2:$A$88,"")</f>
        <v/>
      </c>
      <c r="F290" t="str">
        <f>_xlfn.XLOOKUP(LEFT(A290,2),SECTOR!$A$2:$A$88,SECTOR!$B$2:$B$88,"")</f>
        <v/>
      </c>
      <c r="G290" t="str">
        <f>_xlfn.XLOOKUP(LEFT(A290,3),INDUSTRY!$A$2:$A$259,INDUSTRY!$A$2:$A$259,"")</f>
        <v>302</v>
      </c>
      <c r="H290" t="str">
        <f>_xlfn.XLOOKUP(LEFT(A290,3),INDUSTRY!$A$2:$A$259,INDUSTRY!$B$2:$B$259,"")</f>
        <v>Manufacture of railway locomotives and rolling stock</v>
      </c>
      <c r="I290" t="str">
        <f t="shared" si="8"/>
        <v>3020</v>
      </c>
      <c r="J290" t="str">
        <f t="shared" si="9"/>
        <v>Manufacture of railway locomotives and rolling stock</v>
      </c>
    </row>
    <row r="291" spans="1:10" x14ac:dyDescent="0.25">
      <c r="A291" t="s">
        <v>1374</v>
      </c>
      <c r="B291" t="s">
        <v>1375</v>
      </c>
      <c r="C291" t="s">
        <v>1012</v>
      </c>
      <c r="D291" t="str">
        <f>_xlfn.XLOOKUP(ISIC_Rev_5_english_structure__1[[#This Row],[Column4]],INDUSTRYGROUP!$C$2:$C$23,INDUSTRYGROUP!$D$2:$D$23,"NONE")</f>
        <v>Manufacturing</v>
      </c>
      <c r="E291" t="str">
        <f>_xlfn.XLOOKUP(LEFT(A291,2),SECTOR!$A$2:$A$88,SECTOR!$A$2:$A$88,"")</f>
        <v/>
      </c>
      <c r="F291" t="str">
        <f>_xlfn.XLOOKUP(LEFT(A291,2),SECTOR!$A$2:$A$88,SECTOR!$B$2:$B$88,"")</f>
        <v/>
      </c>
      <c r="G291" t="str">
        <f>_xlfn.XLOOKUP(LEFT(A291,3),INDUSTRY!$A$2:$A$259,INDUSTRY!$A$2:$A$259,"")</f>
        <v>303</v>
      </c>
      <c r="H291" t="str">
        <f>_xlfn.XLOOKUP(LEFT(A291,3),INDUSTRY!$A$2:$A$259,INDUSTRY!$B$2:$B$259,"")</f>
        <v>Manufacture of air and spacecraft and related machinery</v>
      </c>
      <c r="I291" t="str">
        <f t="shared" si="8"/>
        <v/>
      </c>
      <c r="J291" t="str">
        <f t="shared" si="9"/>
        <v/>
      </c>
    </row>
    <row r="292" spans="1:10" x14ac:dyDescent="0.25">
      <c r="A292" t="s">
        <v>1376</v>
      </c>
      <c r="B292" t="s">
        <v>1375</v>
      </c>
      <c r="C292" t="s">
        <v>1012</v>
      </c>
      <c r="D292" t="str">
        <f>_xlfn.XLOOKUP(ISIC_Rev_5_english_structure__1[[#This Row],[Column4]],INDUSTRYGROUP!$C$2:$C$23,INDUSTRYGROUP!$D$2:$D$23,"NONE")</f>
        <v>Manufacturing</v>
      </c>
      <c r="E292" t="str">
        <f>_xlfn.XLOOKUP(LEFT(A292,2),SECTOR!$A$2:$A$88,SECTOR!$A$2:$A$88,"")</f>
        <v/>
      </c>
      <c r="F292" t="str">
        <f>_xlfn.XLOOKUP(LEFT(A292,2),SECTOR!$A$2:$A$88,SECTOR!$B$2:$B$88,"")</f>
        <v/>
      </c>
      <c r="G292" t="str">
        <f>_xlfn.XLOOKUP(LEFT(A292,3),INDUSTRY!$A$2:$A$259,INDUSTRY!$A$2:$A$259,"")</f>
        <v>303</v>
      </c>
      <c r="H292" t="str">
        <f>_xlfn.XLOOKUP(LEFT(A292,3),INDUSTRY!$A$2:$A$259,INDUSTRY!$B$2:$B$259,"")</f>
        <v>Manufacture of air and spacecraft and related machinery</v>
      </c>
      <c r="I292" t="str">
        <f t="shared" si="8"/>
        <v>3030</v>
      </c>
      <c r="J292" t="str">
        <f t="shared" si="9"/>
        <v>Manufacture of air and spacecraft and related machinery</v>
      </c>
    </row>
    <row r="293" spans="1:10" x14ac:dyDescent="0.25">
      <c r="A293" t="s">
        <v>1377</v>
      </c>
      <c r="B293" t="s">
        <v>1378</v>
      </c>
      <c r="C293" t="s">
        <v>1012</v>
      </c>
      <c r="D293" t="str">
        <f>_xlfn.XLOOKUP(ISIC_Rev_5_english_structure__1[[#This Row],[Column4]],INDUSTRYGROUP!$C$2:$C$23,INDUSTRYGROUP!$D$2:$D$23,"NONE")</f>
        <v>Manufacturing</v>
      </c>
      <c r="E293" t="str">
        <f>_xlfn.XLOOKUP(LEFT(A293,2),SECTOR!$A$2:$A$88,SECTOR!$A$2:$A$88,"")</f>
        <v/>
      </c>
      <c r="F293" t="str">
        <f>_xlfn.XLOOKUP(LEFT(A293,2),SECTOR!$A$2:$A$88,SECTOR!$B$2:$B$88,"")</f>
        <v/>
      </c>
      <c r="G293" t="str">
        <f>_xlfn.XLOOKUP(LEFT(A293,3),INDUSTRY!$A$2:$A$259,INDUSTRY!$A$2:$A$259,"")</f>
        <v>304</v>
      </c>
      <c r="H293" t="str">
        <f>_xlfn.XLOOKUP(LEFT(A293,3),INDUSTRY!$A$2:$A$259,INDUSTRY!$B$2:$B$259,"")</f>
        <v>Manufacture of military fighting vehicles</v>
      </c>
      <c r="I293" t="str">
        <f t="shared" si="8"/>
        <v/>
      </c>
      <c r="J293" t="str">
        <f t="shared" si="9"/>
        <v/>
      </c>
    </row>
    <row r="294" spans="1:10" x14ac:dyDescent="0.25">
      <c r="A294" t="s">
        <v>1379</v>
      </c>
      <c r="B294" t="s">
        <v>1378</v>
      </c>
      <c r="C294" t="s">
        <v>1012</v>
      </c>
      <c r="D294" t="str">
        <f>_xlfn.XLOOKUP(ISIC_Rev_5_english_structure__1[[#This Row],[Column4]],INDUSTRYGROUP!$C$2:$C$23,INDUSTRYGROUP!$D$2:$D$23,"NONE")</f>
        <v>Manufacturing</v>
      </c>
      <c r="E294" t="str">
        <f>_xlfn.XLOOKUP(LEFT(A294,2),SECTOR!$A$2:$A$88,SECTOR!$A$2:$A$88,"")</f>
        <v/>
      </c>
      <c r="F294" t="str">
        <f>_xlfn.XLOOKUP(LEFT(A294,2),SECTOR!$A$2:$A$88,SECTOR!$B$2:$B$88,"")</f>
        <v/>
      </c>
      <c r="G294" t="str">
        <f>_xlfn.XLOOKUP(LEFT(A294,3),INDUSTRY!$A$2:$A$259,INDUSTRY!$A$2:$A$259,"")</f>
        <v>304</v>
      </c>
      <c r="H294" t="str">
        <f>_xlfn.XLOOKUP(LEFT(A294,3),INDUSTRY!$A$2:$A$259,INDUSTRY!$B$2:$B$259,"")</f>
        <v>Manufacture of military fighting vehicles</v>
      </c>
      <c r="I294" t="str">
        <f t="shared" si="8"/>
        <v>3040</v>
      </c>
      <c r="J294" t="str">
        <f t="shared" si="9"/>
        <v>Manufacture of military fighting vehicles</v>
      </c>
    </row>
    <row r="295" spans="1:10" x14ac:dyDescent="0.25">
      <c r="A295" t="s">
        <v>1380</v>
      </c>
      <c r="B295" t="s">
        <v>1381</v>
      </c>
      <c r="C295" t="s">
        <v>1012</v>
      </c>
      <c r="D295" t="str">
        <f>_xlfn.XLOOKUP(ISIC_Rev_5_english_structure__1[[#This Row],[Column4]],INDUSTRYGROUP!$C$2:$C$23,INDUSTRYGROUP!$D$2:$D$23,"NONE")</f>
        <v>Manufacturing</v>
      </c>
      <c r="E295" t="str">
        <f>_xlfn.XLOOKUP(LEFT(A295,2),SECTOR!$A$2:$A$88,SECTOR!$A$2:$A$88,"")</f>
        <v/>
      </c>
      <c r="F295" t="str">
        <f>_xlfn.XLOOKUP(LEFT(A295,2),SECTOR!$A$2:$A$88,SECTOR!$B$2:$B$88,"")</f>
        <v/>
      </c>
      <c r="G295" t="str">
        <f>_xlfn.XLOOKUP(LEFT(A295,3),INDUSTRY!$A$2:$A$259,INDUSTRY!$A$2:$A$259,"")</f>
        <v>309</v>
      </c>
      <c r="H295" t="str">
        <f>_xlfn.XLOOKUP(LEFT(A295,3),INDUSTRY!$A$2:$A$259,INDUSTRY!$B$2:$B$259,"")</f>
        <v>Manufacture of transport equipment n.e.c.</v>
      </c>
      <c r="I295" t="str">
        <f t="shared" si="8"/>
        <v/>
      </c>
      <c r="J295" t="str">
        <f t="shared" si="9"/>
        <v/>
      </c>
    </row>
    <row r="296" spans="1:10" x14ac:dyDescent="0.25">
      <c r="A296" t="s">
        <v>1382</v>
      </c>
      <c r="B296" t="s">
        <v>1383</v>
      </c>
      <c r="C296" t="s">
        <v>1012</v>
      </c>
      <c r="D296" t="str">
        <f>_xlfn.XLOOKUP(ISIC_Rev_5_english_structure__1[[#This Row],[Column4]],INDUSTRYGROUP!$C$2:$C$23,INDUSTRYGROUP!$D$2:$D$23,"NONE")</f>
        <v>Manufacturing</v>
      </c>
      <c r="E296" t="str">
        <f>_xlfn.XLOOKUP(LEFT(A296,2),SECTOR!$A$2:$A$88,SECTOR!$A$2:$A$88,"")</f>
        <v/>
      </c>
      <c r="F296" t="str">
        <f>_xlfn.XLOOKUP(LEFT(A296,2),SECTOR!$A$2:$A$88,SECTOR!$B$2:$B$88,"")</f>
        <v/>
      </c>
      <c r="G296" t="str">
        <f>_xlfn.XLOOKUP(LEFT(A296,3),INDUSTRY!$A$2:$A$259,INDUSTRY!$A$2:$A$259,"")</f>
        <v>309</v>
      </c>
      <c r="H296" t="str">
        <f>_xlfn.XLOOKUP(LEFT(A296,3),INDUSTRY!$A$2:$A$259,INDUSTRY!$B$2:$B$259,"")</f>
        <v>Manufacture of transport equipment n.e.c.</v>
      </c>
      <c r="I296" t="str">
        <f t="shared" si="8"/>
        <v>3091</v>
      </c>
      <c r="J296" t="str">
        <f t="shared" si="9"/>
        <v>Manufacture of motorcycles</v>
      </c>
    </row>
    <row r="297" spans="1:10" x14ac:dyDescent="0.25">
      <c r="A297" t="s">
        <v>1384</v>
      </c>
      <c r="B297" t="s">
        <v>1385</v>
      </c>
      <c r="C297" t="s">
        <v>1012</v>
      </c>
      <c r="D297" t="str">
        <f>_xlfn.XLOOKUP(ISIC_Rev_5_english_structure__1[[#This Row],[Column4]],INDUSTRYGROUP!$C$2:$C$23,INDUSTRYGROUP!$D$2:$D$23,"NONE")</f>
        <v>Manufacturing</v>
      </c>
      <c r="E297" t="str">
        <f>_xlfn.XLOOKUP(LEFT(A297,2),SECTOR!$A$2:$A$88,SECTOR!$A$2:$A$88,"")</f>
        <v/>
      </c>
      <c r="F297" t="str">
        <f>_xlfn.XLOOKUP(LEFT(A297,2),SECTOR!$A$2:$A$88,SECTOR!$B$2:$B$88,"")</f>
        <v/>
      </c>
      <c r="G297" t="str">
        <f>_xlfn.XLOOKUP(LEFT(A297,3),INDUSTRY!$A$2:$A$259,INDUSTRY!$A$2:$A$259,"")</f>
        <v>309</v>
      </c>
      <c r="H297" t="str">
        <f>_xlfn.XLOOKUP(LEFT(A297,3),INDUSTRY!$A$2:$A$259,INDUSTRY!$B$2:$B$259,"")</f>
        <v>Manufacture of transport equipment n.e.c.</v>
      </c>
      <c r="I297" t="str">
        <f t="shared" si="8"/>
        <v>3092</v>
      </c>
      <c r="J297" t="str">
        <f t="shared" si="9"/>
        <v>Manufacture of bicycles and invalid carriages</v>
      </c>
    </row>
    <row r="298" spans="1:10" x14ac:dyDescent="0.25">
      <c r="A298" t="s">
        <v>1386</v>
      </c>
      <c r="B298" t="s">
        <v>1387</v>
      </c>
      <c r="C298" t="s">
        <v>1012</v>
      </c>
      <c r="D298" t="str">
        <f>_xlfn.XLOOKUP(ISIC_Rev_5_english_structure__1[[#This Row],[Column4]],INDUSTRYGROUP!$C$2:$C$23,INDUSTRYGROUP!$D$2:$D$23,"NONE")</f>
        <v>Manufacturing</v>
      </c>
      <c r="E298" t="str">
        <f>_xlfn.XLOOKUP(LEFT(A298,2),SECTOR!$A$2:$A$88,SECTOR!$A$2:$A$88,"")</f>
        <v/>
      </c>
      <c r="F298" t="str">
        <f>_xlfn.XLOOKUP(LEFT(A298,2),SECTOR!$A$2:$A$88,SECTOR!$B$2:$B$88,"")</f>
        <v/>
      </c>
      <c r="G298" t="str">
        <f>_xlfn.XLOOKUP(LEFT(A298,3),INDUSTRY!$A$2:$A$259,INDUSTRY!$A$2:$A$259,"")</f>
        <v>309</v>
      </c>
      <c r="H298" t="str">
        <f>_xlfn.XLOOKUP(LEFT(A298,3),INDUSTRY!$A$2:$A$259,INDUSTRY!$B$2:$B$259,"")</f>
        <v>Manufacture of transport equipment n.e.c.</v>
      </c>
      <c r="I298" t="str">
        <f t="shared" si="8"/>
        <v>3099</v>
      </c>
      <c r="J298" t="str">
        <f t="shared" si="9"/>
        <v>Manufacture of other transport equipment n.e.c.</v>
      </c>
    </row>
    <row r="299" spans="1:10" x14ac:dyDescent="0.25">
      <c r="A299" t="s">
        <v>1388</v>
      </c>
      <c r="B299" t="s">
        <v>1389</v>
      </c>
      <c r="C299" t="s">
        <v>1012</v>
      </c>
      <c r="D299" t="str">
        <f>_xlfn.XLOOKUP(ISIC_Rev_5_english_structure__1[[#This Row],[Column4]],INDUSTRYGROUP!$C$2:$C$23,INDUSTRYGROUP!$D$2:$D$23,"NONE")</f>
        <v>Manufacturing</v>
      </c>
      <c r="E299" t="str">
        <f>_xlfn.XLOOKUP(LEFT(A299,2),SECTOR!$A$2:$A$88,SECTOR!$A$2:$A$88,"")</f>
        <v/>
      </c>
      <c r="F299" t="str">
        <f>_xlfn.XLOOKUP(LEFT(A299,2),SECTOR!$A$2:$A$88,SECTOR!$B$2:$B$88,"")</f>
        <v/>
      </c>
      <c r="G299" t="str">
        <f>_xlfn.XLOOKUP(LEFT(A299,3),INDUSTRY!$A$2:$A$259,INDUSTRY!$A$2:$A$259,"")</f>
        <v/>
      </c>
      <c r="H299" t="str">
        <f>_xlfn.XLOOKUP(LEFT(A299,3),INDUSTRY!$A$2:$A$259,INDUSTRY!$B$2:$B$259,"")</f>
        <v/>
      </c>
      <c r="I299" t="str">
        <f t="shared" si="8"/>
        <v/>
      </c>
      <c r="J299" t="str">
        <f t="shared" si="9"/>
        <v/>
      </c>
    </row>
    <row r="300" spans="1:10" x14ac:dyDescent="0.25">
      <c r="A300" t="s">
        <v>1390</v>
      </c>
      <c r="B300" t="s">
        <v>1389</v>
      </c>
      <c r="C300" t="s">
        <v>1012</v>
      </c>
      <c r="D300" t="str">
        <f>_xlfn.XLOOKUP(ISIC_Rev_5_english_structure__1[[#This Row],[Column4]],INDUSTRYGROUP!$C$2:$C$23,INDUSTRYGROUP!$D$2:$D$23,"NONE")</f>
        <v>Manufacturing</v>
      </c>
      <c r="E300" t="str">
        <f>_xlfn.XLOOKUP(LEFT(A300,2),SECTOR!$A$2:$A$88,SECTOR!$A$2:$A$88,"")</f>
        <v/>
      </c>
      <c r="F300" t="str">
        <f>_xlfn.XLOOKUP(LEFT(A300,2),SECTOR!$A$2:$A$88,SECTOR!$B$2:$B$88,"")</f>
        <v/>
      </c>
      <c r="G300" t="str">
        <f>_xlfn.XLOOKUP(LEFT(A300,3),INDUSTRY!$A$2:$A$259,INDUSTRY!$A$2:$A$259,"")</f>
        <v>310</v>
      </c>
      <c r="H300" t="str">
        <f>_xlfn.XLOOKUP(LEFT(A300,3),INDUSTRY!$A$2:$A$259,INDUSTRY!$B$2:$B$259,"")</f>
        <v>Manufacture of furniture</v>
      </c>
      <c r="I300" t="str">
        <f t="shared" si="8"/>
        <v/>
      </c>
      <c r="J300" t="str">
        <f t="shared" si="9"/>
        <v/>
      </c>
    </row>
    <row r="301" spans="1:10" x14ac:dyDescent="0.25">
      <c r="A301" t="s">
        <v>1391</v>
      </c>
      <c r="B301" t="s">
        <v>1392</v>
      </c>
      <c r="C301" t="s">
        <v>1012</v>
      </c>
      <c r="D301" t="str">
        <f>_xlfn.XLOOKUP(ISIC_Rev_5_english_structure__1[[#This Row],[Column4]],INDUSTRYGROUP!$C$2:$C$23,INDUSTRYGROUP!$D$2:$D$23,"NONE")</f>
        <v>Manufacturing</v>
      </c>
      <c r="E301" t="str">
        <f>_xlfn.XLOOKUP(LEFT(A301,2),SECTOR!$A$2:$A$88,SECTOR!$A$2:$A$88,"")</f>
        <v/>
      </c>
      <c r="F301" t="str">
        <f>_xlfn.XLOOKUP(LEFT(A301,2),SECTOR!$A$2:$A$88,SECTOR!$B$2:$B$88,"")</f>
        <v/>
      </c>
      <c r="G301" t="str">
        <f>_xlfn.XLOOKUP(LEFT(A301,3),INDUSTRY!$A$2:$A$259,INDUSTRY!$A$2:$A$259,"")</f>
        <v>310</v>
      </c>
      <c r="H301" t="str">
        <f>_xlfn.XLOOKUP(LEFT(A301,3),INDUSTRY!$A$2:$A$259,INDUSTRY!$B$2:$B$259,"")</f>
        <v>Manufacture of furniture</v>
      </c>
      <c r="I301" t="str">
        <f t="shared" si="8"/>
        <v>3101</v>
      </c>
      <c r="J301" t="str">
        <f t="shared" si="9"/>
        <v>Manufacture of wooden furniture</v>
      </c>
    </row>
    <row r="302" spans="1:10" x14ac:dyDescent="0.25">
      <c r="A302" t="s">
        <v>1393</v>
      </c>
      <c r="B302" t="s">
        <v>1394</v>
      </c>
      <c r="C302" t="s">
        <v>1012</v>
      </c>
      <c r="D302" t="str">
        <f>_xlfn.XLOOKUP(ISIC_Rev_5_english_structure__1[[#This Row],[Column4]],INDUSTRYGROUP!$C$2:$C$23,INDUSTRYGROUP!$D$2:$D$23,"NONE")</f>
        <v>Manufacturing</v>
      </c>
      <c r="E302" t="str">
        <f>_xlfn.XLOOKUP(LEFT(A302,2),SECTOR!$A$2:$A$88,SECTOR!$A$2:$A$88,"")</f>
        <v/>
      </c>
      <c r="F302" t="str">
        <f>_xlfn.XLOOKUP(LEFT(A302,2),SECTOR!$A$2:$A$88,SECTOR!$B$2:$B$88,"")</f>
        <v/>
      </c>
      <c r="G302" t="str">
        <f>_xlfn.XLOOKUP(LEFT(A302,3),INDUSTRY!$A$2:$A$259,INDUSTRY!$A$2:$A$259,"")</f>
        <v>310</v>
      </c>
      <c r="H302" t="str">
        <f>_xlfn.XLOOKUP(LEFT(A302,3),INDUSTRY!$A$2:$A$259,INDUSTRY!$B$2:$B$259,"")</f>
        <v>Manufacture of furniture</v>
      </c>
      <c r="I302" t="str">
        <f t="shared" si="8"/>
        <v>3102</v>
      </c>
      <c r="J302" t="str">
        <f t="shared" si="9"/>
        <v>Manufacture of other furniture</v>
      </c>
    </row>
    <row r="303" spans="1:10" x14ac:dyDescent="0.25">
      <c r="A303" t="s">
        <v>1395</v>
      </c>
      <c r="B303" t="s">
        <v>1396</v>
      </c>
      <c r="C303" t="s">
        <v>1012</v>
      </c>
      <c r="D303" t="str">
        <f>_xlfn.XLOOKUP(ISIC_Rev_5_english_structure__1[[#This Row],[Column4]],INDUSTRYGROUP!$C$2:$C$23,INDUSTRYGROUP!$D$2:$D$23,"NONE")</f>
        <v>Manufacturing</v>
      </c>
      <c r="E303" t="str">
        <f>_xlfn.XLOOKUP(LEFT(A303,2),SECTOR!$A$2:$A$88,SECTOR!$A$2:$A$88,"")</f>
        <v/>
      </c>
      <c r="F303" t="str">
        <f>_xlfn.XLOOKUP(LEFT(A303,2),SECTOR!$A$2:$A$88,SECTOR!$B$2:$B$88,"")</f>
        <v/>
      </c>
      <c r="G303" t="str">
        <f>_xlfn.XLOOKUP(LEFT(A303,3),INDUSTRY!$A$2:$A$259,INDUSTRY!$A$2:$A$259,"")</f>
        <v/>
      </c>
      <c r="H303" t="str">
        <f>_xlfn.XLOOKUP(LEFT(A303,3),INDUSTRY!$A$2:$A$259,INDUSTRY!$B$2:$B$259,"")</f>
        <v/>
      </c>
      <c r="I303" t="str">
        <f t="shared" si="8"/>
        <v/>
      </c>
      <c r="J303" t="str">
        <f t="shared" si="9"/>
        <v/>
      </c>
    </row>
    <row r="304" spans="1:10" x14ac:dyDescent="0.25">
      <c r="A304" t="s">
        <v>1397</v>
      </c>
      <c r="B304" t="s">
        <v>1398</v>
      </c>
      <c r="C304" t="s">
        <v>1012</v>
      </c>
      <c r="D304" t="str">
        <f>_xlfn.XLOOKUP(ISIC_Rev_5_english_structure__1[[#This Row],[Column4]],INDUSTRYGROUP!$C$2:$C$23,INDUSTRYGROUP!$D$2:$D$23,"NONE")</f>
        <v>Manufacturing</v>
      </c>
      <c r="E304" t="str">
        <f>_xlfn.XLOOKUP(LEFT(A304,2),SECTOR!$A$2:$A$88,SECTOR!$A$2:$A$88,"")</f>
        <v/>
      </c>
      <c r="F304" t="str">
        <f>_xlfn.XLOOKUP(LEFT(A304,2),SECTOR!$A$2:$A$88,SECTOR!$B$2:$B$88,"")</f>
        <v/>
      </c>
      <c r="G304" t="str">
        <f>_xlfn.XLOOKUP(LEFT(A304,3),INDUSTRY!$A$2:$A$259,INDUSTRY!$A$2:$A$259,"")</f>
        <v>321</v>
      </c>
      <c r="H304" t="str">
        <f>_xlfn.XLOOKUP(LEFT(A304,3),INDUSTRY!$A$2:$A$259,INDUSTRY!$B$2:$B$259,"")</f>
        <v>Manufacture of jewellery, bijouterie and related articles</v>
      </c>
      <c r="I304" t="str">
        <f t="shared" si="8"/>
        <v/>
      </c>
      <c r="J304" t="str">
        <f t="shared" si="9"/>
        <v/>
      </c>
    </row>
    <row r="305" spans="1:10" x14ac:dyDescent="0.25">
      <c r="A305" t="s">
        <v>1399</v>
      </c>
      <c r="B305" t="s">
        <v>1400</v>
      </c>
      <c r="C305" t="s">
        <v>1012</v>
      </c>
      <c r="D305" t="str">
        <f>_xlfn.XLOOKUP(ISIC_Rev_5_english_structure__1[[#This Row],[Column4]],INDUSTRYGROUP!$C$2:$C$23,INDUSTRYGROUP!$D$2:$D$23,"NONE")</f>
        <v>Manufacturing</v>
      </c>
      <c r="E305" t="str">
        <f>_xlfn.XLOOKUP(LEFT(A305,2),SECTOR!$A$2:$A$88,SECTOR!$A$2:$A$88,"")</f>
        <v/>
      </c>
      <c r="F305" t="str">
        <f>_xlfn.XLOOKUP(LEFT(A305,2),SECTOR!$A$2:$A$88,SECTOR!$B$2:$B$88,"")</f>
        <v/>
      </c>
      <c r="G305" t="str">
        <f>_xlfn.XLOOKUP(LEFT(A305,3),INDUSTRY!$A$2:$A$259,INDUSTRY!$A$2:$A$259,"")</f>
        <v>321</v>
      </c>
      <c r="H305" t="str">
        <f>_xlfn.XLOOKUP(LEFT(A305,3),INDUSTRY!$A$2:$A$259,INDUSTRY!$B$2:$B$259,"")</f>
        <v>Manufacture of jewellery, bijouterie and related articles</v>
      </c>
      <c r="I305" t="str">
        <f t="shared" si="8"/>
        <v>3211</v>
      </c>
      <c r="J305" t="str">
        <f t="shared" si="9"/>
        <v>Manufacture of jewellery and related articles</v>
      </c>
    </row>
    <row r="306" spans="1:10" x14ac:dyDescent="0.25">
      <c r="A306" t="s">
        <v>1401</v>
      </c>
      <c r="B306" t="s">
        <v>1402</v>
      </c>
      <c r="C306" t="s">
        <v>1012</v>
      </c>
      <c r="D306" t="str">
        <f>_xlfn.XLOOKUP(ISIC_Rev_5_english_structure__1[[#This Row],[Column4]],INDUSTRYGROUP!$C$2:$C$23,INDUSTRYGROUP!$D$2:$D$23,"NONE")</f>
        <v>Manufacturing</v>
      </c>
      <c r="E306" t="str">
        <f>_xlfn.XLOOKUP(LEFT(A306,2),SECTOR!$A$2:$A$88,SECTOR!$A$2:$A$88,"")</f>
        <v/>
      </c>
      <c r="F306" t="str">
        <f>_xlfn.XLOOKUP(LEFT(A306,2),SECTOR!$A$2:$A$88,SECTOR!$B$2:$B$88,"")</f>
        <v/>
      </c>
      <c r="G306" t="str">
        <f>_xlfn.XLOOKUP(LEFT(A306,3),INDUSTRY!$A$2:$A$259,INDUSTRY!$A$2:$A$259,"")</f>
        <v>321</v>
      </c>
      <c r="H306" t="str">
        <f>_xlfn.XLOOKUP(LEFT(A306,3),INDUSTRY!$A$2:$A$259,INDUSTRY!$B$2:$B$259,"")</f>
        <v>Manufacture of jewellery, bijouterie and related articles</v>
      </c>
      <c r="I306" t="str">
        <f t="shared" si="8"/>
        <v>3212</v>
      </c>
      <c r="J306" t="str">
        <f t="shared" si="9"/>
        <v>Manufacture of imitation jewellery and related articles</v>
      </c>
    </row>
    <row r="307" spans="1:10" x14ac:dyDescent="0.25">
      <c r="A307" t="s">
        <v>1403</v>
      </c>
      <c r="B307" t="s">
        <v>1404</v>
      </c>
      <c r="C307" t="s">
        <v>1012</v>
      </c>
      <c r="D307" t="str">
        <f>_xlfn.XLOOKUP(ISIC_Rev_5_english_structure__1[[#This Row],[Column4]],INDUSTRYGROUP!$C$2:$C$23,INDUSTRYGROUP!$D$2:$D$23,"NONE")</f>
        <v>Manufacturing</v>
      </c>
      <c r="E307" t="str">
        <f>_xlfn.XLOOKUP(LEFT(A307,2),SECTOR!$A$2:$A$88,SECTOR!$A$2:$A$88,"")</f>
        <v/>
      </c>
      <c r="F307" t="str">
        <f>_xlfn.XLOOKUP(LEFT(A307,2),SECTOR!$A$2:$A$88,SECTOR!$B$2:$B$88,"")</f>
        <v/>
      </c>
      <c r="G307" t="str">
        <f>_xlfn.XLOOKUP(LEFT(A307,3),INDUSTRY!$A$2:$A$259,INDUSTRY!$A$2:$A$259,"")</f>
        <v>322</v>
      </c>
      <c r="H307" t="str">
        <f>_xlfn.XLOOKUP(LEFT(A307,3),INDUSTRY!$A$2:$A$259,INDUSTRY!$B$2:$B$259,"")</f>
        <v>Manufacture of musical instruments</v>
      </c>
      <c r="I307" t="str">
        <f t="shared" si="8"/>
        <v/>
      </c>
      <c r="J307" t="str">
        <f t="shared" si="9"/>
        <v/>
      </c>
    </row>
    <row r="308" spans="1:10" x14ac:dyDescent="0.25">
      <c r="A308" t="s">
        <v>1405</v>
      </c>
      <c r="B308" t="s">
        <v>1404</v>
      </c>
      <c r="C308" t="s">
        <v>1012</v>
      </c>
      <c r="D308" t="str">
        <f>_xlfn.XLOOKUP(ISIC_Rev_5_english_structure__1[[#This Row],[Column4]],INDUSTRYGROUP!$C$2:$C$23,INDUSTRYGROUP!$D$2:$D$23,"NONE")</f>
        <v>Manufacturing</v>
      </c>
      <c r="E308" t="str">
        <f>_xlfn.XLOOKUP(LEFT(A308,2),SECTOR!$A$2:$A$88,SECTOR!$A$2:$A$88,"")</f>
        <v/>
      </c>
      <c r="F308" t="str">
        <f>_xlfn.XLOOKUP(LEFT(A308,2),SECTOR!$A$2:$A$88,SECTOR!$B$2:$B$88,"")</f>
        <v/>
      </c>
      <c r="G308" t="str">
        <f>_xlfn.XLOOKUP(LEFT(A308,3),INDUSTRY!$A$2:$A$259,INDUSTRY!$A$2:$A$259,"")</f>
        <v>322</v>
      </c>
      <c r="H308" t="str">
        <f>_xlfn.XLOOKUP(LEFT(A308,3),INDUSTRY!$A$2:$A$259,INDUSTRY!$B$2:$B$259,"")</f>
        <v>Manufacture of musical instruments</v>
      </c>
      <c r="I308" t="str">
        <f t="shared" si="8"/>
        <v>3220</v>
      </c>
      <c r="J308" t="str">
        <f t="shared" si="9"/>
        <v>Manufacture of musical instruments</v>
      </c>
    </row>
    <row r="309" spans="1:10" x14ac:dyDescent="0.25">
      <c r="A309" t="s">
        <v>1406</v>
      </c>
      <c r="B309" t="s">
        <v>1407</v>
      </c>
      <c r="C309" t="s">
        <v>1012</v>
      </c>
      <c r="D309" t="str">
        <f>_xlfn.XLOOKUP(ISIC_Rev_5_english_structure__1[[#This Row],[Column4]],INDUSTRYGROUP!$C$2:$C$23,INDUSTRYGROUP!$D$2:$D$23,"NONE")</f>
        <v>Manufacturing</v>
      </c>
      <c r="E309" t="str">
        <f>_xlfn.XLOOKUP(LEFT(A309,2),SECTOR!$A$2:$A$88,SECTOR!$A$2:$A$88,"")</f>
        <v/>
      </c>
      <c r="F309" t="str">
        <f>_xlfn.XLOOKUP(LEFT(A309,2),SECTOR!$A$2:$A$88,SECTOR!$B$2:$B$88,"")</f>
        <v/>
      </c>
      <c r="G309" t="str">
        <f>_xlfn.XLOOKUP(LEFT(A309,3),INDUSTRY!$A$2:$A$259,INDUSTRY!$A$2:$A$259,"")</f>
        <v>323</v>
      </c>
      <c r="H309" t="str">
        <f>_xlfn.XLOOKUP(LEFT(A309,3),INDUSTRY!$A$2:$A$259,INDUSTRY!$B$2:$B$259,"")</f>
        <v>Manufacture of sports goods</v>
      </c>
      <c r="I309" t="str">
        <f t="shared" si="8"/>
        <v/>
      </c>
      <c r="J309" t="str">
        <f t="shared" si="9"/>
        <v/>
      </c>
    </row>
    <row r="310" spans="1:10" x14ac:dyDescent="0.25">
      <c r="A310" t="s">
        <v>1408</v>
      </c>
      <c r="B310" t="s">
        <v>1407</v>
      </c>
      <c r="C310" t="s">
        <v>1012</v>
      </c>
      <c r="D310" t="str">
        <f>_xlfn.XLOOKUP(ISIC_Rev_5_english_structure__1[[#This Row],[Column4]],INDUSTRYGROUP!$C$2:$C$23,INDUSTRYGROUP!$D$2:$D$23,"NONE")</f>
        <v>Manufacturing</v>
      </c>
      <c r="E310" t="str">
        <f>_xlfn.XLOOKUP(LEFT(A310,2),SECTOR!$A$2:$A$88,SECTOR!$A$2:$A$88,"")</f>
        <v/>
      </c>
      <c r="F310" t="str">
        <f>_xlfn.XLOOKUP(LEFT(A310,2),SECTOR!$A$2:$A$88,SECTOR!$B$2:$B$88,"")</f>
        <v/>
      </c>
      <c r="G310" t="str">
        <f>_xlfn.XLOOKUP(LEFT(A310,3),INDUSTRY!$A$2:$A$259,INDUSTRY!$A$2:$A$259,"")</f>
        <v>323</v>
      </c>
      <c r="H310" t="str">
        <f>_xlfn.XLOOKUP(LEFT(A310,3),INDUSTRY!$A$2:$A$259,INDUSTRY!$B$2:$B$259,"")</f>
        <v>Manufacture of sports goods</v>
      </c>
      <c r="I310" t="str">
        <f t="shared" si="8"/>
        <v>3230</v>
      </c>
      <c r="J310" t="str">
        <f t="shared" si="9"/>
        <v>Manufacture of sports goods</v>
      </c>
    </row>
    <row r="311" spans="1:10" x14ac:dyDescent="0.25">
      <c r="A311" t="s">
        <v>1409</v>
      </c>
      <c r="B311" t="s">
        <v>1410</v>
      </c>
      <c r="C311" t="s">
        <v>1012</v>
      </c>
      <c r="D311" t="str">
        <f>_xlfn.XLOOKUP(ISIC_Rev_5_english_structure__1[[#This Row],[Column4]],INDUSTRYGROUP!$C$2:$C$23,INDUSTRYGROUP!$D$2:$D$23,"NONE")</f>
        <v>Manufacturing</v>
      </c>
      <c r="E311" t="str">
        <f>_xlfn.XLOOKUP(LEFT(A311,2),SECTOR!$A$2:$A$88,SECTOR!$A$2:$A$88,"")</f>
        <v/>
      </c>
      <c r="F311" t="str">
        <f>_xlfn.XLOOKUP(LEFT(A311,2),SECTOR!$A$2:$A$88,SECTOR!$B$2:$B$88,"")</f>
        <v/>
      </c>
      <c r="G311" t="str">
        <f>_xlfn.XLOOKUP(LEFT(A311,3),INDUSTRY!$A$2:$A$259,INDUSTRY!$A$2:$A$259,"")</f>
        <v>324</v>
      </c>
      <c r="H311" t="str">
        <f>_xlfn.XLOOKUP(LEFT(A311,3),INDUSTRY!$A$2:$A$259,INDUSTRY!$B$2:$B$259,"")</f>
        <v>Manufacture of games and toys</v>
      </c>
      <c r="I311" t="str">
        <f t="shared" si="8"/>
        <v/>
      </c>
      <c r="J311" t="str">
        <f t="shared" si="9"/>
        <v/>
      </c>
    </row>
    <row r="312" spans="1:10" x14ac:dyDescent="0.25">
      <c r="A312" t="s">
        <v>1411</v>
      </c>
      <c r="B312" t="s">
        <v>1410</v>
      </c>
      <c r="C312" t="s">
        <v>1012</v>
      </c>
      <c r="D312" t="str">
        <f>_xlfn.XLOOKUP(ISIC_Rev_5_english_structure__1[[#This Row],[Column4]],INDUSTRYGROUP!$C$2:$C$23,INDUSTRYGROUP!$D$2:$D$23,"NONE")</f>
        <v>Manufacturing</v>
      </c>
      <c r="E312" t="str">
        <f>_xlfn.XLOOKUP(LEFT(A312,2),SECTOR!$A$2:$A$88,SECTOR!$A$2:$A$88,"")</f>
        <v/>
      </c>
      <c r="F312" t="str">
        <f>_xlfn.XLOOKUP(LEFT(A312,2),SECTOR!$A$2:$A$88,SECTOR!$B$2:$B$88,"")</f>
        <v/>
      </c>
      <c r="G312" t="str">
        <f>_xlfn.XLOOKUP(LEFT(A312,3),INDUSTRY!$A$2:$A$259,INDUSTRY!$A$2:$A$259,"")</f>
        <v>324</v>
      </c>
      <c r="H312" t="str">
        <f>_xlfn.XLOOKUP(LEFT(A312,3),INDUSTRY!$A$2:$A$259,INDUSTRY!$B$2:$B$259,"")</f>
        <v>Manufacture of games and toys</v>
      </c>
      <c r="I312" t="str">
        <f t="shared" si="8"/>
        <v>3240</v>
      </c>
      <c r="J312" t="str">
        <f t="shared" si="9"/>
        <v>Manufacture of games and toys</v>
      </c>
    </row>
    <row r="313" spans="1:10" x14ac:dyDescent="0.25">
      <c r="A313" t="s">
        <v>1412</v>
      </c>
      <c r="B313" t="s">
        <v>1413</v>
      </c>
      <c r="C313" t="s">
        <v>1012</v>
      </c>
      <c r="D313" t="str">
        <f>_xlfn.XLOOKUP(ISIC_Rev_5_english_structure__1[[#This Row],[Column4]],INDUSTRYGROUP!$C$2:$C$23,INDUSTRYGROUP!$D$2:$D$23,"NONE")</f>
        <v>Manufacturing</v>
      </c>
      <c r="E313" t="str">
        <f>_xlfn.XLOOKUP(LEFT(A313,2),SECTOR!$A$2:$A$88,SECTOR!$A$2:$A$88,"")</f>
        <v/>
      </c>
      <c r="F313" t="str">
        <f>_xlfn.XLOOKUP(LEFT(A313,2),SECTOR!$A$2:$A$88,SECTOR!$B$2:$B$88,"")</f>
        <v/>
      </c>
      <c r="G313" t="str">
        <f>_xlfn.XLOOKUP(LEFT(A313,3),INDUSTRY!$A$2:$A$259,INDUSTRY!$A$2:$A$259,"")</f>
        <v>325</v>
      </c>
      <c r="H313" t="str">
        <f>_xlfn.XLOOKUP(LEFT(A313,3),INDUSTRY!$A$2:$A$259,INDUSTRY!$B$2:$B$259,"")</f>
        <v>Manufacture of medical and dental instruments and supplies</v>
      </c>
      <c r="I313" t="str">
        <f t="shared" si="8"/>
        <v/>
      </c>
      <c r="J313" t="str">
        <f t="shared" si="9"/>
        <v/>
      </c>
    </row>
    <row r="314" spans="1:10" x14ac:dyDescent="0.25">
      <c r="A314" t="s">
        <v>1414</v>
      </c>
      <c r="B314" t="s">
        <v>1413</v>
      </c>
      <c r="C314" t="s">
        <v>1012</v>
      </c>
      <c r="D314" t="str">
        <f>_xlfn.XLOOKUP(ISIC_Rev_5_english_structure__1[[#This Row],[Column4]],INDUSTRYGROUP!$C$2:$C$23,INDUSTRYGROUP!$D$2:$D$23,"NONE")</f>
        <v>Manufacturing</v>
      </c>
      <c r="E314" t="str">
        <f>_xlfn.XLOOKUP(LEFT(A314,2),SECTOR!$A$2:$A$88,SECTOR!$A$2:$A$88,"")</f>
        <v/>
      </c>
      <c r="F314" t="str">
        <f>_xlfn.XLOOKUP(LEFT(A314,2),SECTOR!$A$2:$A$88,SECTOR!$B$2:$B$88,"")</f>
        <v/>
      </c>
      <c r="G314" t="str">
        <f>_xlfn.XLOOKUP(LEFT(A314,3),INDUSTRY!$A$2:$A$259,INDUSTRY!$A$2:$A$259,"")</f>
        <v>325</v>
      </c>
      <c r="H314" t="str">
        <f>_xlfn.XLOOKUP(LEFT(A314,3),INDUSTRY!$A$2:$A$259,INDUSTRY!$B$2:$B$259,"")</f>
        <v>Manufacture of medical and dental instruments and supplies</v>
      </c>
      <c r="I314" t="str">
        <f t="shared" si="8"/>
        <v>3250</v>
      </c>
      <c r="J314" t="str">
        <f t="shared" si="9"/>
        <v>Manufacture of medical and dental instruments and supplies</v>
      </c>
    </row>
    <row r="315" spans="1:10" x14ac:dyDescent="0.25">
      <c r="A315" t="s">
        <v>1415</v>
      </c>
      <c r="B315" t="s">
        <v>1416</v>
      </c>
      <c r="C315" t="s">
        <v>1012</v>
      </c>
      <c r="D315" t="str">
        <f>_xlfn.XLOOKUP(ISIC_Rev_5_english_structure__1[[#This Row],[Column4]],INDUSTRYGROUP!$C$2:$C$23,INDUSTRYGROUP!$D$2:$D$23,"NONE")</f>
        <v>Manufacturing</v>
      </c>
      <c r="E315" t="str">
        <f>_xlfn.XLOOKUP(LEFT(A315,2),SECTOR!$A$2:$A$88,SECTOR!$A$2:$A$88,"")</f>
        <v/>
      </c>
      <c r="F315" t="str">
        <f>_xlfn.XLOOKUP(LEFT(A315,2),SECTOR!$A$2:$A$88,SECTOR!$B$2:$B$88,"")</f>
        <v/>
      </c>
      <c r="G315" t="str">
        <f>_xlfn.XLOOKUP(LEFT(A315,3),INDUSTRY!$A$2:$A$259,INDUSTRY!$A$2:$A$259,"")</f>
        <v>329</v>
      </c>
      <c r="H315" t="str">
        <f>_xlfn.XLOOKUP(LEFT(A315,3),INDUSTRY!$A$2:$A$259,INDUSTRY!$B$2:$B$259,"")</f>
        <v>Other manufacturing n.e.c.</v>
      </c>
      <c r="I315" t="str">
        <f t="shared" si="8"/>
        <v/>
      </c>
      <c r="J315" t="str">
        <f t="shared" si="9"/>
        <v/>
      </c>
    </row>
    <row r="316" spans="1:10" x14ac:dyDescent="0.25">
      <c r="A316" t="s">
        <v>1417</v>
      </c>
      <c r="B316" t="s">
        <v>1416</v>
      </c>
      <c r="C316" t="s">
        <v>1012</v>
      </c>
      <c r="D316" t="str">
        <f>_xlfn.XLOOKUP(ISIC_Rev_5_english_structure__1[[#This Row],[Column4]],INDUSTRYGROUP!$C$2:$C$23,INDUSTRYGROUP!$D$2:$D$23,"NONE")</f>
        <v>Manufacturing</v>
      </c>
      <c r="E316" t="str">
        <f>_xlfn.XLOOKUP(LEFT(A316,2),SECTOR!$A$2:$A$88,SECTOR!$A$2:$A$88,"")</f>
        <v/>
      </c>
      <c r="F316" t="str">
        <f>_xlfn.XLOOKUP(LEFT(A316,2),SECTOR!$A$2:$A$88,SECTOR!$B$2:$B$88,"")</f>
        <v/>
      </c>
      <c r="G316" t="str">
        <f>_xlfn.XLOOKUP(LEFT(A316,3),INDUSTRY!$A$2:$A$259,INDUSTRY!$A$2:$A$259,"")</f>
        <v>329</v>
      </c>
      <c r="H316" t="str">
        <f>_xlfn.XLOOKUP(LEFT(A316,3),INDUSTRY!$A$2:$A$259,INDUSTRY!$B$2:$B$259,"")</f>
        <v>Other manufacturing n.e.c.</v>
      </c>
      <c r="I316" t="str">
        <f t="shared" si="8"/>
        <v>3290</v>
      </c>
      <c r="J316" t="str">
        <f t="shared" si="9"/>
        <v>Other manufacturing n.e.c.</v>
      </c>
    </row>
    <row r="317" spans="1:10" x14ac:dyDescent="0.25">
      <c r="A317" t="s">
        <v>1418</v>
      </c>
      <c r="B317" t="s">
        <v>1419</v>
      </c>
      <c r="C317" t="s">
        <v>1012</v>
      </c>
      <c r="D317" t="str">
        <f>_xlfn.XLOOKUP(ISIC_Rev_5_english_structure__1[[#This Row],[Column4]],INDUSTRYGROUP!$C$2:$C$23,INDUSTRYGROUP!$D$2:$D$23,"NONE")</f>
        <v>Manufacturing</v>
      </c>
      <c r="E317" t="str">
        <f>_xlfn.XLOOKUP(LEFT(A317,2),SECTOR!$A$2:$A$88,SECTOR!$A$2:$A$88,"")</f>
        <v/>
      </c>
      <c r="F317" t="str">
        <f>_xlfn.XLOOKUP(LEFT(A317,2),SECTOR!$A$2:$A$88,SECTOR!$B$2:$B$88,"")</f>
        <v/>
      </c>
      <c r="G317" t="str">
        <f>_xlfn.XLOOKUP(LEFT(A317,3),INDUSTRY!$A$2:$A$259,INDUSTRY!$A$2:$A$259,"")</f>
        <v/>
      </c>
      <c r="H317" t="str">
        <f>_xlfn.XLOOKUP(LEFT(A317,3),INDUSTRY!$A$2:$A$259,INDUSTRY!$B$2:$B$259,"")</f>
        <v/>
      </c>
      <c r="I317" t="str">
        <f t="shared" si="8"/>
        <v/>
      </c>
      <c r="J317" t="str">
        <f t="shared" si="9"/>
        <v/>
      </c>
    </row>
    <row r="318" spans="1:10" x14ac:dyDescent="0.25">
      <c r="A318" t="s">
        <v>1420</v>
      </c>
      <c r="B318" t="s">
        <v>1421</v>
      </c>
      <c r="C318" t="s">
        <v>1012</v>
      </c>
      <c r="D318" t="str">
        <f>_xlfn.XLOOKUP(ISIC_Rev_5_english_structure__1[[#This Row],[Column4]],INDUSTRYGROUP!$C$2:$C$23,INDUSTRYGROUP!$D$2:$D$23,"NONE")</f>
        <v>Manufacturing</v>
      </c>
      <c r="E318" t="str">
        <f>_xlfn.XLOOKUP(LEFT(A318,2),SECTOR!$A$2:$A$88,SECTOR!$A$2:$A$88,"")</f>
        <v/>
      </c>
      <c r="F318" t="str">
        <f>_xlfn.XLOOKUP(LEFT(A318,2),SECTOR!$A$2:$A$88,SECTOR!$B$2:$B$88,"")</f>
        <v/>
      </c>
      <c r="G318" t="str">
        <f>_xlfn.XLOOKUP(LEFT(A318,3),INDUSTRY!$A$2:$A$259,INDUSTRY!$A$2:$A$259,"")</f>
        <v>331</v>
      </c>
      <c r="H318" t="str">
        <f>_xlfn.XLOOKUP(LEFT(A318,3),INDUSTRY!$A$2:$A$259,INDUSTRY!$B$2:$B$259,"")</f>
        <v>Repair and maintenance of fabricated metal products, machinery and equipment</v>
      </c>
      <c r="I318" t="str">
        <f t="shared" si="8"/>
        <v/>
      </c>
      <c r="J318" t="str">
        <f t="shared" si="9"/>
        <v/>
      </c>
    </row>
    <row r="319" spans="1:10" x14ac:dyDescent="0.25">
      <c r="A319" t="s">
        <v>1422</v>
      </c>
      <c r="B319" t="s">
        <v>1423</v>
      </c>
      <c r="C319" t="s">
        <v>1012</v>
      </c>
      <c r="D319" t="str">
        <f>_xlfn.XLOOKUP(ISIC_Rev_5_english_structure__1[[#This Row],[Column4]],INDUSTRYGROUP!$C$2:$C$23,INDUSTRYGROUP!$D$2:$D$23,"NONE")</f>
        <v>Manufacturing</v>
      </c>
      <c r="E319" t="str">
        <f>_xlfn.XLOOKUP(LEFT(A319,2),SECTOR!$A$2:$A$88,SECTOR!$A$2:$A$88,"")</f>
        <v/>
      </c>
      <c r="F319" t="str">
        <f>_xlfn.XLOOKUP(LEFT(A319,2),SECTOR!$A$2:$A$88,SECTOR!$B$2:$B$88,"")</f>
        <v/>
      </c>
      <c r="G319" t="str">
        <f>_xlfn.XLOOKUP(LEFT(A319,3),INDUSTRY!$A$2:$A$259,INDUSTRY!$A$2:$A$259,"")</f>
        <v>331</v>
      </c>
      <c r="H319" t="str">
        <f>_xlfn.XLOOKUP(LEFT(A319,3),INDUSTRY!$A$2:$A$259,INDUSTRY!$B$2:$B$259,"")</f>
        <v>Repair and maintenance of fabricated metal products, machinery and equipment</v>
      </c>
      <c r="I319" t="str">
        <f t="shared" si="8"/>
        <v>3311</v>
      </c>
      <c r="J319" t="str">
        <f t="shared" si="9"/>
        <v>Repair and maintenance of fabricated metal products</v>
      </c>
    </row>
    <row r="320" spans="1:10" x14ac:dyDescent="0.25">
      <c r="A320" t="s">
        <v>1424</v>
      </c>
      <c r="B320" t="s">
        <v>1425</v>
      </c>
      <c r="C320" t="s">
        <v>1012</v>
      </c>
      <c r="D320" t="str">
        <f>_xlfn.XLOOKUP(ISIC_Rev_5_english_structure__1[[#This Row],[Column4]],INDUSTRYGROUP!$C$2:$C$23,INDUSTRYGROUP!$D$2:$D$23,"NONE")</f>
        <v>Manufacturing</v>
      </c>
      <c r="E320" t="str">
        <f>_xlfn.XLOOKUP(LEFT(A320,2),SECTOR!$A$2:$A$88,SECTOR!$A$2:$A$88,"")</f>
        <v/>
      </c>
      <c r="F320" t="str">
        <f>_xlfn.XLOOKUP(LEFT(A320,2),SECTOR!$A$2:$A$88,SECTOR!$B$2:$B$88,"")</f>
        <v/>
      </c>
      <c r="G320" t="str">
        <f>_xlfn.XLOOKUP(LEFT(A320,3),INDUSTRY!$A$2:$A$259,INDUSTRY!$A$2:$A$259,"")</f>
        <v>331</v>
      </c>
      <c r="H320" t="str">
        <f>_xlfn.XLOOKUP(LEFT(A320,3),INDUSTRY!$A$2:$A$259,INDUSTRY!$B$2:$B$259,"")</f>
        <v>Repair and maintenance of fabricated metal products, machinery and equipment</v>
      </c>
      <c r="I320" t="str">
        <f t="shared" si="8"/>
        <v>3312</v>
      </c>
      <c r="J320" t="str">
        <f t="shared" si="9"/>
        <v>Repair and maintenance of machinery</v>
      </c>
    </row>
    <row r="321" spans="1:10" x14ac:dyDescent="0.25">
      <c r="A321" t="s">
        <v>1426</v>
      </c>
      <c r="B321" t="s">
        <v>1427</v>
      </c>
      <c r="C321" t="s">
        <v>1012</v>
      </c>
      <c r="D321" t="str">
        <f>_xlfn.XLOOKUP(ISIC_Rev_5_english_structure__1[[#This Row],[Column4]],INDUSTRYGROUP!$C$2:$C$23,INDUSTRYGROUP!$D$2:$D$23,"NONE")</f>
        <v>Manufacturing</v>
      </c>
      <c r="E321" t="str">
        <f>_xlfn.XLOOKUP(LEFT(A321,2),SECTOR!$A$2:$A$88,SECTOR!$A$2:$A$88,"")</f>
        <v/>
      </c>
      <c r="F321" t="str">
        <f>_xlfn.XLOOKUP(LEFT(A321,2),SECTOR!$A$2:$A$88,SECTOR!$B$2:$B$88,"")</f>
        <v/>
      </c>
      <c r="G321" t="str">
        <f>_xlfn.XLOOKUP(LEFT(A321,3),INDUSTRY!$A$2:$A$259,INDUSTRY!$A$2:$A$259,"")</f>
        <v>331</v>
      </c>
      <c r="H321" t="str">
        <f>_xlfn.XLOOKUP(LEFT(A321,3),INDUSTRY!$A$2:$A$259,INDUSTRY!$B$2:$B$259,"")</f>
        <v>Repair and maintenance of fabricated metal products, machinery and equipment</v>
      </c>
      <c r="I321" t="str">
        <f t="shared" si="8"/>
        <v>3313</v>
      </c>
      <c r="J321" t="str">
        <f t="shared" si="9"/>
        <v>Repair and maintenance of electronic and optical equipment</v>
      </c>
    </row>
    <row r="322" spans="1:10" x14ac:dyDescent="0.25">
      <c r="A322" t="s">
        <v>1428</v>
      </c>
      <c r="B322" t="s">
        <v>1429</v>
      </c>
      <c r="C322" t="s">
        <v>1012</v>
      </c>
      <c r="D322" t="str">
        <f>_xlfn.XLOOKUP(ISIC_Rev_5_english_structure__1[[#This Row],[Column4]],INDUSTRYGROUP!$C$2:$C$23,INDUSTRYGROUP!$D$2:$D$23,"NONE")</f>
        <v>Manufacturing</v>
      </c>
      <c r="E322" t="str">
        <f>_xlfn.XLOOKUP(LEFT(A322,2),SECTOR!$A$2:$A$88,SECTOR!$A$2:$A$88,"")</f>
        <v/>
      </c>
      <c r="F322" t="str">
        <f>_xlfn.XLOOKUP(LEFT(A322,2),SECTOR!$A$2:$A$88,SECTOR!$B$2:$B$88,"")</f>
        <v/>
      </c>
      <c r="G322" t="str">
        <f>_xlfn.XLOOKUP(LEFT(A322,3),INDUSTRY!$A$2:$A$259,INDUSTRY!$A$2:$A$259,"")</f>
        <v>331</v>
      </c>
      <c r="H322" t="str">
        <f>_xlfn.XLOOKUP(LEFT(A322,3),INDUSTRY!$A$2:$A$259,INDUSTRY!$B$2:$B$259,"")</f>
        <v>Repair and maintenance of fabricated metal products, machinery and equipment</v>
      </c>
      <c r="I322" t="str">
        <f t="shared" ref="I322:I385" si="10">IF(LEN(A322)=4,A322,"")</f>
        <v>3314</v>
      </c>
      <c r="J322" t="str">
        <f t="shared" ref="J322:J385" si="11">IF(LEN(A322)=4,B322,"")</f>
        <v>Repair and maintenance of electrical equipment</v>
      </c>
    </row>
    <row r="323" spans="1:10" x14ac:dyDescent="0.25">
      <c r="A323" t="s">
        <v>1430</v>
      </c>
      <c r="B323" t="s">
        <v>1431</v>
      </c>
      <c r="C323" t="s">
        <v>1012</v>
      </c>
      <c r="D323" t="str">
        <f>_xlfn.XLOOKUP(ISIC_Rev_5_english_structure__1[[#This Row],[Column4]],INDUSTRYGROUP!$C$2:$C$23,INDUSTRYGROUP!$D$2:$D$23,"NONE")</f>
        <v>Manufacturing</v>
      </c>
      <c r="E323" t="str">
        <f>_xlfn.XLOOKUP(LEFT(A323,2),SECTOR!$A$2:$A$88,SECTOR!$A$2:$A$88,"")</f>
        <v/>
      </c>
      <c r="F323" t="str">
        <f>_xlfn.XLOOKUP(LEFT(A323,2),SECTOR!$A$2:$A$88,SECTOR!$B$2:$B$88,"")</f>
        <v/>
      </c>
      <c r="G323" t="str">
        <f>_xlfn.XLOOKUP(LEFT(A323,3),INDUSTRY!$A$2:$A$259,INDUSTRY!$A$2:$A$259,"")</f>
        <v>331</v>
      </c>
      <c r="H323" t="str">
        <f>_xlfn.XLOOKUP(LEFT(A323,3),INDUSTRY!$A$2:$A$259,INDUSTRY!$B$2:$B$259,"")</f>
        <v>Repair and maintenance of fabricated metal products, machinery and equipment</v>
      </c>
      <c r="I323" t="str">
        <f t="shared" si="10"/>
        <v>3315</v>
      </c>
      <c r="J323" t="str">
        <f t="shared" si="11"/>
        <v>Repair and maintenance of transport equipment, except motor vehicles</v>
      </c>
    </row>
    <row r="324" spans="1:10" x14ac:dyDescent="0.25">
      <c r="A324" t="s">
        <v>1432</v>
      </c>
      <c r="B324" t="s">
        <v>1433</v>
      </c>
      <c r="C324" t="s">
        <v>1012</v>
      </c>
      <c r="D324" t="str">
        <f>_xlfn.XLOOKUP(ISIC_Rev_5_english_structure__1[[#This Row],[Column4]],INDUSTRYGROUP!$C$2:$C$23,INDUSTRYGROUP!$D$2:$D$23,"NONE")</f>
        <v>Manufacturing</v>
      </c>
      <c r="E324" t="str">
        <f>_xlfn.XLOOKUP(LEFT(A324,2),SECTOR!$A$2:$A$88,SECTOR!$A$2:$A$88,"")</f>
        <v/>
      </c>
      <c r="F324" t="str">
        <f>_xlfn.XLOOKUP(LEFT(A324,2),SECTOR!$A$2:$A$88,SECTOR!$B$2:$B$88,"")</f>
        <v/>
      </c>
      <c r="G324" t="str">
        <f>_xlfn.XLOOKUP(LEFT(A324,3),INDUSTRY!$A$2:$A$259,INDUSTRY!$A$2:$A$259,"")</f>
        <v>331</v>
      </c>
      <c r="H324" t="str">
        <f>_xlfn.XLOOKUP(LEFT(A324,3),INDUSTRY!$A$2:$A$259,INDUSTRY!$B$2:$B$259,"")</f>
        <v>Repair and maintenance of fabricated metal products, machinery and equipment</v>
      </c>
      <c r="I324" t="str">
        <f t="shared" si="10"/>
        <v>3319</v>
      </c>
      <c r="J324" t="str">
        <f t="shared" si="11"/>
        <v>Repair and maintenance of other equipment</v>
      </c>
    </row>
    <row r="325" spans="1:10" x14ac:dyDescent="0.25">
      <c r="A325" t="s">
        <v>1434</v>
      </c>
      <c r="B325" t="s">
        <v>1435</v>
      </c>
      <c r="C325" t="s">
        <v>1012</v>
      </c>
      <c r="D325" t="str">
        <f>_xlfn.XLOOKUP(ISIC_Rev_5_english_structure__1[[#This Row],[Column4]],INDUSTRYGROUP!$C$2:$C$23,INDUSTRYGROUP!$D$2:$D$23,"NONE")</f>
        <v>Manufacturing</v>
      </c>
      <c r="E325" t="str">
        <f>_xlfn.XLOOKUP(LEFT(A325,2),SECTOR!$A$2:$A$88,SECTOR!$A$2:$A$88,"")</f>
        <v/>
      </c>
      <c r="F325" t="str">
        <f>_xlfn.XLOOKUP(LEFT(A325,2),SECTOR!$A$2:$A$88,SECTOR!$B$2:$B$88,"")</f>
        <v/>
      </c>
      <c r="G325" t="str">
        <f>_xlfn.XLOOKUP(LEFT(A325,3),INDUSTRY!$A$2:$A$259,INDUSTRY!$A$2:$A$259,"")</f>
        <v>332</v>
      </c>
      <c r="H325" t="str">
        <f>_xlfn.XLOOKUP(LEFT(A325,3),INDUSTRY!$A$2:$A$259,INDUSTRY!$B$2:$B$259,"")</f>
        <v>Installation of industrial machinery and equipment</v>
      </c>
      <c r="I325" t="str">
        <f t="shared" si="10"/>
        <v/>
      </c>
      <c r="J325" t="str">
        <f t="shared" si="11"/>
        <v/>
      </c>
    </row>
    <row r="326" spans="1:10" x14ac:dyDescent="0.25">
      <c r="A326" t="s">
        <v>1436</v>
      </c>
      <c r="B326" t="s">
        <v>1435</v>
      </c>
      <c r="C326" t="s">
        <v>1012</v>
      </c>
      <c r="D326" t="str">
        <f>_xlfn.XLOOKUP(ISIC_Rev_5_english_structure__1[[#This Row],[Column4]],INDUSTRYGROUP!$C$2:$C$23,INDUSTRYGROUP!$D$2:$D$23,"NONE")</f>
        <v>Manufacturing</v>
      </c>
      <c r="E326" t="str">
        <f>_xlfn.XLOOKUP(LEFT(A326,2),SECTOR!$A$2:$A$88,SECTOR!$A$2:$A$88,"")</f>
        <v/>
      </c>
      <c r="F326" t="str">
        <f>_xlfn.XLOOKUP(LEFT(A326,2),SECTOR!$A$2:$A$88,SECTOR!$B$2:$B$88,"")</f>
        <v/>
      </c>
      <c r="G326" t="str">
        <f>_xlfn.XLOOKUP(LEFT(A326,3),INDUSTRY!$A$2:$A$259,INDUSTRY!$A$2:$A$259,"")</f>
        <v>332</v>
      </c>
      <c r="H326" t="str">
        <f>_xlfn.XLOOKUP(LEFT(A326,3),INDUSTRY!$A$2:$A$259,INDUSTRY!$B$2:$B$259,"")</f>
        <v>Installation of industrial machinery and equipment</v>
      </c>
      <c r="I326" t="str">
        <f t="shared" si="10"/>
        <v>3320</v>
      </c>
      <c r="J326" t="str">
        <f t="shared" si="11"/>
        <v>Installation of industrial machinery and equipment</v>
      </c>
    </row>
    <row r="327" spans="1:10" x14ac:dyDescent="0.25">
      <c r="A327" t="s">
        <v>1437</v>
      </c>
      <c r="B327" t="s">
        <v>1438</v>
      </c>
      <c r="C327" t="s">
        <v>1437</v>
      </c>
      <c r="D327" t="str">
        <f>_xlfn.XLOOKUP(ISIC_Rev_5_english_structure__1[[#This Row],[Column4]],INDUSTRYGROUP!$C$2:$C$23,INDUSTRYGROUP!$D$2:$D$23,"NONE")</f>
        <v>NONE</v>
      </c>
      <c r="E327" t="str">
        <f>_xlfn.XLOOKUP(LEFT(A327,2),SECTOR!$A$2:$A$88,SECTOR!$A$2:$A$88,"")</f>
        <v>D</v>
      </c>
      <c r="F327" t="str">
        <f>_xlfn.XLOOKUP(LEFT(A327,2),SECTOR!$A$2:$A$88,SECTOR!$B$2:$B$88,"")</f>
        <v>Electricity, gas, steam and air conditioning supply</v>
      </c>
      <c r="G327" t="str">
        <f>_xlfn.XLOOKUP(LEFT(A327,3),INDUSTRY!$A$2:$A$259,INDUSTRY!$A$2:$A$259,"")</f>
        <v/>
      </c>
      <c r="H327" t="str">
        <f>_xlfn.XLOOKUP(LEFT(A327,3),INDUSTRY!$A$2:$A$259,INDUSTRY!$B$2:$B$259,"")</f>
        <v/>
      </c>
      <c r="I327" t="str">
        <f t="shared" si="10"/>
        <v/>
      </c>
      <c r="J327" t="str">
        <f t="shared" si="11"/>
        <v/>
      </c>
    </row>
    <row r="328" spans="1:10" x14ac:dyDescent="0.25">
      <c r="A328" t="s">
        <v>1439</v>
      </c>
      <c r="B328" t="s">
        <v>1438</v>
      </c>
      <c r="C328" t="s">
        <v>1437</v>
      </c>
      <c r="D328" t="str">
        <f>_xlfn.XLOOKUP(ISIC_Rev_5_english_structure__1[[#This Row],[Column4]],INDUSTRYGROUP!$C$2:$C$23,INDUSTRYGROUP!$D$2:$D$23,"NONE")</f>
        <v>NONE</v>
      </c>
      <c r="E328" t="str">
        <f>_xlfn.XLOOKUP(LEFT(A328,2),SECTOR!$A$2:$A$88,SECTOR!$A$2:$A$88,"")</f>
        <v/>
      </c>
      <c r="F328" t="str">
        <f>_xlfn.XLOOKUP(LEFT(A328,2),SECTOR!$A$2:$A$88,SECTOR!$B$2:$B$88,"")</f>
        <v/>
      </c>
      <c r="G328" t="str">
        <f>_xlfn.XLOOKUP(LEFT(A328,3),INDUSTRY!$A$2:$A$259,INDUSTRY!$A$2:$A$259,"")</f>
        <v/>
      </c>
      <c r="H328" t="str">
        <f>_xlfn.XLOOKUP(LEFT(A328,3),INDUSTRY!$A$2:$A$259,INDUSTRY!$B$2:$B$259,"")</f>
        <v/>
      </c>
      <c r="I328" t="str">
        <f t="shared" si="10"/>
        <v/>
      </c>
      <c r="J328" t="str">
        <f t="shared" si="11"/>
        <v/>
      </c>
    </row>
    <row r="329" spans="1:10" x14ac:dyDescent="0.25">
      <c r="A329" t="s">
        <v>1440</v>
      </c>
      <c r="B329" t="s">
        <v>1441</v>
      </c>
      <c r="C329" t="s">
        <v>1437</v>
      </c>
      <c r="D329" t="str">
        <f>_xlfn.XLOOKUP(ISIC_Rev_5_english_structure__1[[#This Row],[Column4]],INDUSTRYGROUP!$C$2:$C$23,INDUSTRYGROUP!$D$2:$D$23,"NONE")</f>
        <v>NONE</v>
      </c>
      <c r="E329" t="str">
        <f>_xlfn.XLOOKUP(LEFT(A329,2),SECTOR!$A$2:$A$88,SECTOR!$A$2:$A$88,"")</f>
        <v/>
      </c>
      <c r="F329" t="str">
        <f>_xlfn.XLOOKUP(LEFT(A329,2),SECTOR!$A$2:$A$88,SECTOR!$B$2:$B$88,"")</f>
        <v/>
      </c>
      <c r="G329" t="str">
        <f>_xlfn.XLOOKUP(LEFT(A329,3),INDUSTRY!$A$2:$A$259,INDUSTRY!$A$2:$A$259,"")</f>
        <v>351</v>
      </c>
      <c r="H329" t="str">
        <f>_xlfn.XLOOKUP(LEFT(A329,3),INDUSTRY!$A$2:$A$259,INDUSTRY!$B$2:$B$259,"")</f>
        <v>Electric power generation, transmission and distribution activities</v>
      </c>
      <c r="I329" t="str">
        <f t="shared" si="10"/>
        <v/>
      </c>
      <c r="J329" t="str">
        <f t="shared" si="11"/>
        <v/>
      </c>
    </row>
    <row r="330" spans="1:10" x14ac:dyDescent="0.25">
      <c r="A330" t="s">
        <v>1442</v>
      </c>
      <c r="B330" t="s">
        <v>1443</v>
      </c>
      <c r="C330" t="s">
        <v>1437</v>
      </c>
      <c r="D330" t="str">
        <f>_xlfn.XLOOKUP(ISIC_Rev_5_english_structure__1[[#This Row],[Column4]],INDUSTRYGROUP!$C$2:$C$23,INDUSTRYGROUP!$D$2:$D$23,"NONE")</f>
        <v>NONE</v>
      </c>
      <c r="E330" t="str">
        <f>_xlfn.XLOOKUP(LEFT(A330,2),SECTOR!$A$2:$A$88,SECTOR!$A$2:$A$88,"")</f>
        <v/>
      </c>
      <c r="F330" t="str">
        <f>_xlfn.XLOOKUP(LEFT(A330,2),SECTOR!$A$2:$A$88,SECTOR!$B$2:$B$88,"")</f>
        <v/>
      </c>
      <c r="G330" t="str">
        <f>_xlfn.XLOOKUP(LEFT(A330,3),INDUSTRY!$A$2:$A$259,INDUSTRY!$A$2:$A$259,"")</f>
        <v>351</v>
      </c>
      <c r="H330" t="str">
        <f>_xlfn.XLOOKUP(LEFT(A330,3),INDUSTRY!$A$2:$A$259,INDUSTRY!$B$2:$B$259,"")</f>
        <v>Electric power generation, transmission and distribution activities</v>
      </c>
      <c r="I330" t="str">
        <f t="shared" si="10"/>
        <v>3511</v>
      </c>
      <c r="J330" t="str">
        <f t="shared" si="11"/>
        <v>Electric power generation activities from non-renewable sources</v>
      </c>
    </row>
    <row r="331" spans="1:10" x14ac:dyDescent="0.25">
      <c r="A331" t="s">
        <v>1444</v>
      </c>
      <c r="B331" t="s">
        <v>1445</v>
      </c>
      <c r="C331" t="s">
        <v>1437</v>
      </c>
      <c r="D331" t="str">
        <f>_xlfn.XLOOKUP(ISIC_Rev_5_english_structure__1[[#This Row],[Column4]],INDUSTRYGROUP!$C$2:$C$23,INDUSTRYGROUP!$D$2:$D$23,"NONE")</f>
        <v>NONE</v>
      </c>
      <c r="E331" t="str">
        <f>_xlfn.XLOOKUP(LEFT(A331,2),SECTOR!$A$2:$A$88,SECTOR!$A$2:$A$88,"")</f>
        <v/>
      </c>
      <c r="F331" t="str">
        <f>_xlfn.XLOOKUP(LEFT(A331,2),SECTOR!$A$2:$A$88,SECTOR!$B$2:$B$88,"")</f>
        <v/>
      </c>
      <c r="G331" t="str">
        <f>_xlfn.XLOOKUP(LEFT(A331,3),INDUSTRY!$A$2:$A$259,INDUSTRY!$A$2:$A$259,"")</f>
        <v>351</v>
      </c>
      <c r="H331" t="str">
        <f>_xlfn.XLOOKUP(LEFT(A331,3),INDUSTRY!$A$2:$A$259,INDUSTRY!$B$2:$B$259,"")</f>
        <v>Electric power generation, transmission and distribution activities</v>
      </c>
      <c r="I331" t="str">
        <f t="shared" si="10"/>
        <v>3512</v>
      </c>
      <c r="J331" t="str">
        <f t="shared" si="11"/>
        <v>Electric power generation activities from renewable sources</v>
      </c>
    </row>
    <row r="332" spans="1:10" x14ac:dyDescent="0.25">
      <c r="A332" t="s">
        <v>1446</v>
      </c>
      <c r="B332" t="s">
        <v>1447</v>
      </c>
      <c r="C332" t="s">
        <v>1437</v>
      </c>
      <c r="D332" t="str">
        <f>_xlfn.XLOOKUP(ISIC_Rev_5_english_structure__1[[#This Row],[Column4]],INDUSTRYGROUP!$C$2:$C$23,INDUSTRYGROUP!$D$2:$D$23,"NONE")</f>
        <v>NONE</v>
      </c>
      <c r="E332" t="str">
        <f>_xlfn.XLOOKUP(LEFT(A332,2),SECTOR!$A$2:$A$88,SECTOR!$A$2:$A$88,"")</f>
        <v/>
      </c>
      <c r="F332" t="str">
        <f>_xlfn.XLOOKUP(LEFT(A332,2),SECTOR!$A$2:$A$88,SECTOR!$B$2:$B$88,"")</f>
        <v/>
      </c>
      <c r="G332" t="str">
        <f>_xlfn.XLOOKUP(LEFT(A332,3),INDUSTRY!$A$2:$A$259,INDUSTRY!$A$2:$A$259,"")</f>
        <v>351</v>
      </c>
      <c r="H332" t="str">
        <f>_xlfn.XLOOKUP(LEFT(A332,3),INDUSTRY!$A$2:$A$259,INDUSTRY!$B$2:$B$259,"")</f>
        <v>Electric power generation, transmission and distribution activities</v>
      </c>
      <c r="I332" t="str">
        <f t="shared" si="10"/>
        <v>3513</v>
      </c>
      <c r="J332" t="str">
        <f t="shared" si="11"/>
        <v>Electric power transmission and distribution activities</v>
      </c>
    </row>
    <row r="333" spans="1:10" x14ac:dyDescent="0.25">
      <c r="A333" t="s">
        <v>1448</v>
      </c>
      <c r="B333" t="s">
        <v>1449</v>
      </c>
      <c r="C333" t="s">
        <v>1437</v>
      </c>
      <c r="D333" t="str">
        <f>_xlfn.XLOOKUP(ISIC_Rev_5_english_structure__1[[#This Row],[Column4]],INDUSTRYGROUP!$C$2:$C$23,INDUSTRYGROUP!$D$2:$D$23,"NONE")</f>
        <v>NONE</v>
      </c>
      <c r="E333" t="str">
        <f>_xlfn.XLOOKUP(LEFT(A333,2),SECTOR!$A$2:$A$88,SECTOR!$A$2:$A$88,"")</f>
        <v/>
      </c>
      <c r="F333" t="str">
        <f>_xlfn.XLOOKUP(LEFT(A333,2),SECTOR!$A$2:$A$88,SECTOR!$B$2:$B$88,"")</f>
        <v/>
      </c>
      <c r="G333" t="str">
        <f>_xlfn.XLOOKUP(LEFT(A333,3),INDUSTRY!$A$2:$A$259,INDUSTRY!$A$2:$A$259,"")</f>
        <v>352</v>
      </c>
      <c r="H333" t="str">
        <f>_xlfn.XLOOKUP(LEFT(A333,3),INDUSTRY!$A$2:$A$259,INDUSTRY!$B$2:$B$259,"")</f>
        <v>Manufacture of gas; distribution of gaseous fuels through mains</v>
      </c>
      <c r="I333" t="str">
        <f t="shared" si="10"/>
        <v/>
      </c>
      <c r="J333" t="str">
        <f t="shared" si="11"/>
        <v/>
      </c>
    </row>
    <row r="334" spans="1:10" x14ac:dyDescent="0.25">
      <c r="A334" t="s">
        <v>1450</v>
      </c>
      <c r="B334" t="s">
        <v>1449</v>
      </c>
      <c r="C334" t="s">
        <v>1437</v>
      </c>
      <c r="D334" t="str">
        <f>_xlfn.XLOOKUP(ISIC_Rev_5_english_structure__1[[#This Row],[Column4]],INDUSTRYGROUP!$C$2:$C$23,INDUSTRYGROUP!$D$2:$D$23,"NONE")</f>
        <v>NONE</v>
      </c>
      <c r="E334" t="str">
        <f>_xlfn.XLOOKUP(LEFT(A334,2),SECTOR!$A$2:$A$88,SECTOR!$A$2:$A$88,"")</f>
        <v/>
      </c>
      <c r="F334" t="str">
        <f>_xlfn.XLOOKUP(LEFT(A334,2),SECTOR!$A$2:$A$88,SECTOR!$B$2:$B$88,"")</f>
        <v/>
      </c>
      <c r="G334" t="str">
        <f>_xlfn.XLOOKUP(LEFT(A334,3),INDUSTRY!$A$2:$A$259,INDUSTRY!$A$2:$A$259,"")</f>
        <v>352</v>
      </c>
      <c r="H334" t="str">
        <f>_xlfn.XLOOKUP(LEFT(A334,3),INDUSTRY!$A$2:$A$259,INDUSTRY!$B$2:$B$259,"")</f>
        <v>Manufacture of gas; distribution of gaseous fuels through mains</v>
      </c>
      <c r="I334" t="str">
        <f t="shared" si="10"/>
        <v>3520</v>
      </c>
      <c r="J334" t="str">
        <f t="shared" si="11"/>
        <v>Manufacture of gas; distribution of gaseous fuels through mains</v>
      </c>
    </row>
    <row r="335" spans="1:10" x14ac:dyDescent="0.25">
      <c r="A335" t="s">
        <v>1451</v>
      </c>
      <c r="B335" t="s">
        <v>1452</v>
      </c>
      <c r="C335" t="s">
        <v>1437</v>
      </c>
      <c r="D335" t="str">
        <f>_xlfn.XLOOKUP(ISIC_Rev_5_english_structure__1[[#This Row],[Column4]],INDUSTRYGROUP!$C$2:$C$23,INDUSTRYGROUP!$D$2:$D$23,"NONE")</f>
        <v>NONE</v>
      </c>
      <c r="E335" t="str">
        <f>_xlfn.XLOOKUP(LEFT(A335,2),SECTOR!$A$2:$A$88,SECTOR!$A$2:$A$88,"")</f>
        <v/>
      </c>
      <c r="F335" t="str">
        <f>_xlfn.XLOOKUP(LEFT(A335,2),SECTOR!$A$2:$A$88,SECTOR!$B$2:$B$88,"")</f>
        <v/>
      </c>
      <c r="G335" t="str">
        <f>_xlfn.XLOOKUP(LEFT(A335,3),INDUSTRY!$A$2:$A$259,INDUSTRY!$A$2:$A$259,"")</f>
        <v>353</v>
      </c>
      <c r="H335" t="str">
        <f>_xlfn.XLOOKUP(LEFT(A335,3),INDUSTRY!$A$2:$A$259,INDUSTRY!$B$2:$B$259,"")</f>
        <v>Steam and air conditioning supply</v>
      </c>
      <c r="I335" t="str">
        <f t="shared" si="10"/>
        <v/>
      </c>
      <c r="J335" t="str">
        <f t="shared" si="11"/>
        <v/>
      </c>
    </row>
    <row r="336" spans="1:10" x14ac:dyDescent="0.25">
      <c r="A336" t="s">
        <v>1453</v>
      </c>
      <c r="B336" t="s">
        <v>1452</v>
      </c>
      <c r="C336" t="s">
        <v>1437</v>
      </c>
      <c r="D336" t="str">
        <f>_xlfn.XLOOKUP(ISIC_Rev_5_english_structure__1[[#This Row],[Column4]],INDUSTRYGROUP!$C$2:$C$23,INDUSTRYGROUP!$D$2:$D$23,"NONE")</f>
        <v>NONE</v>
      </c>
      <c r="E336" t="str">
        <f>_xlfn.XLOOKUP(LEFT(A336,2),SECTOR!$A$2:$A$88,SECTOR!$A$2:$A$88,"")</f>
        <v/>
      </c>
      <c r="F336" t="str">
        <f>_xlfn.XLOOKUP(LEFT(A336,2),SECTOR!$A$2:$A$88,SECTOR!$B$2:$B$88,"")</f>
        <v/>
      </c>
      <c r="G336" t="str">
        <f>_xlfn.XLOOKUP(LEFT(A336,3),INDUSTRY!$A$2:$A$259,INDUSTRY!$A$2:$A$259,"")</f>
        <v>353</v>
      </c>
      <c r="H336" t="str">
        <f>_xlfn.XLOOKUP(LEFT(A336,3),INDUSTRY!$A$2:$A$259,INDUSTRY!$B$2:$B$259,"")</f>
        <v>Steam and air conditioning supply</v>
      </c>
      <c r="I336" t="str">
        <f t="shared" si="10"/>
        <v>3530</v>
      </c>
      <c r="J336" t="str">
        <f t="shared" si="11"/>
        <v>Steam and air conditioning supply</v>
      </c>
    </row>
    <row r="337" spans="1:10" x14ac:dyDescent="0.25">
      <c r="A337" t="s">
        <v>1454</v>
      </c>
      <c r="B337" t="s">
        <v>1455</v>
      </c>
      <c r="C337" t="s">
        <v>1437</v>
      </c>
      <c r="D337" t="str">
        <f>_xlfn.XLOOKUP(ISIC_Rev_5_english_structure__1[[#This Row],[Column4]],INDUSTRYGROUP!$C$2:$C$23,INDUSTRYGROUP!$D$2:$D$23,"NONE")</f>
        <v>NONE</v>
      </c>
      <c r="E337" t="str">
        <f>_xlfn.XLOOKUP(LEFT(A337,2),SECTOR!$A$2:$A$88,SECTOR!$A$2:$A$88,"")</f>
        <v/>
      </c>
      <c r="F337" t="str">
        <f>_xlfn.XLOOKUP(LEFT(A337,2),SECTOR!$A$2:$A$88,SECTOR!$B$2:$B$88,"")</f>
        <v/>
      </c>
      <c r="G337" t="str">
        <f>_xlfn.XLOOKUP(LEFT(A337,3),INDUSTRY!$A$2:$A$259,INDUSTRY!$A$2:$A$259,"")</f>
        <v>354</v>
      </c>
      <c r="H337" t="str">
        <f>_xlfn.XLOOKUP(LEFT(A337,3),INDUSTRY!$A$2:$A$259,INDUSTRY!$B$2:$B$259,"")</f>
        <v>Activities of brokers and agents for electric power and natural gas</v>
      </c>
      <c r="I337" t="str">
        <f t="shared" si="10"/>
        <v/>
      </c>
      <c r="J337" t="str">
        <f t="shared" si="11"/>
        <v/>
      </c>
    </row>
    <row r="338" spans="1:10" x14ac:dyDescent="0.25">
      <c r="A338" t="s">
        <v>1456</v>
      </c>
      <c r="B338" t="s">
        <v>1455</v>
      </c>
      <c r="C338" t="s">
        <v>1437</v>
      </c>
      <c r="D338" t="str">
        <f>_xlfn.XLOOKUP(ISIC_Rev_5_english_structure__1[[#This Row],[Column4]],INDUSTRYGROUP!$C$2:$C$23,INDUSTRYGROUP!$D$2:$D$23,"NONE")</f>
        <v>NONE</v>
      </c>
      <c r="E338" t="str">
        <f>_xlfn.XLOOKUP(LEFT(A338,2),SECTOR!$A$2:$A$88,SECTOR!$A$2:$A$88,"")</f>
        <v/>
      </c>
      <c r="F338" t="str">
        <f>_xlfn.XLOOKUP(LEFT(A338,2),SECTOR!$A$2:$A$88,SECTOR!$B$2:$B$88,"")</f>
        <v/>
      </c>
      <c r="G338" t="str">
        <f>_xlfn.XLOOKUP(LEFT(A338,3),INDUSTRY!$A$2:$A$259,INDUSTRY!$A$2:$A$259,"")</f>
        <v>354</v>
      </c>
      <c r="H338" t="str">
        <f>_xlfn.XLOOKUP(LEFT(A338,3),INDUSTRY!$A$2:$A$259,INDUSTRY!$B$2:$B$259,"")</f>
        <v>Activities of brokers and agents for electric power and natural gas</v>
      </c>
      <c r="I338" t="str">
        <f t="shared" si="10"/>
        <v>3540</v>
      </c>
      <c r="J338" t="str">
        <f t="shared" si="11"/>
        <v>Activities of brokers and agents for electric power and natural gas</v>
      </c>
    </row>
    <row r="339" spans="1:10" x14ac:dyDescent="0.25">
      <c r="A339" t="s">
        <v>1457</v>
      </c>
      <c r="B339" t="s">
        <v>1458</v>
      </c>
      <c r="C339" t="s">
        <v>1457</v>
      </c>
      <c r="D339" t="str">
        <f>_xlfn.XLOOKUP(ISIC_Rev_5_english_structure__1[[#This Row],[Column4]],INDUSTRYGROUP!$C$2:$C$23,INDUSTRYGROUP!$D$2:$D$23,"NONE")</f>
        <v>NONE</v>
      </c>
      <c r="E339" t="str">
        <f>_xlfn.XLOOKUP(LEFT(A339,2),SECTOR!$A$2:$A$88,SECTOR!$A$2:$A$88,"")</f>
        <v>E</v>
      </c>
      <c r="F339" t="str">
        <f>_xlfn.XLOOKUP(LEFT(A339,2),SECTOR!$A$2:$A$88,SECTOR!$B$2:$B$88,"")</f>
        <v>Water supply; sewerage, waste management and remediation activities</v>
      </c>
      <c r="G339" t="str">
        <f>_xlfn.XLOOKUP(LEFT(A339,3),INDUSTRY!$A$2:$A$259,INDUSTRY!$A$2:$A$259,"")</f>
        <v/>
      </c>
      <c r="H339" t="str">
        <f>_xlfn.XLOOKUP(LEFT(A339,3),INDUSTRY!$A$2:$A$259,INDUSTRY!$B$2:$B$259,"")</f>
        <v/>
      </c>
      <c r="I339" t="str">
        <f t="shared" si="10"/>
        <v/>
      </c>
      <c r="J339" t="str">
        <f t="shared" si="11"/>
        <v/>
      </c>
    </row>
    <row r="340" spans="1:10" x14ac:dyDescent="0.25">
      <c r="A340" t="s">
        <v>1459</v>
      </c>
      <c r="B340" t="s">
        <v>1460</v>
      </c>
      <c r="C340" t="s">
        <v>1457</v>
      </c>
      <c r="D340" t="str">
        <f>_xlfn.XLOOKUP(ISIC_Rev_5_english_structure__1[[#This Row],[Column4]],INDUSTRYGROUP!$C$2:$C$23,INDUSTRYGROUP!$D$2:$D$23,"NONE")</f>
        <v>NONE</v>
      </c>
      <c r="E340" t="str">
        <f>_xlfn.XLOOKUP(LEFT(A340,2),SECTOR!$A$2:$A$88,SECTOR!$A$2:$A$88,"")</f>
        <v/>
      </c>
      <c r="F340" t="str">
        <f>_xlfn.XLOOKUP(LEFT(A340,2),SECTOR!$A$2:$A$88,SECTOR!$B$2:$B$88,"")</f>
        <v/>
      </c>
      <c r="G340" t="str">
        <f>_xlfn.XLOOKUP(LEFT(A340,3),INDUSTRY!$A$2:$A$259,INDUSTRY!$A$2:$A$259,"")</f>
        <v/>
      </c>
      <c r="H340" t="str">
        <f>_xlfn.XLOOKUP(LEFT(A340,3),INDUSTRY!$A$2:$A$259,INDUSTRY!$B$2:$B$259,"")</f>
        <v/>
      </c>
      <c r="I340" t="str">
        <f t="shared" si="10"/>
        <v/>
      </c>
      <c r="J340" t="str">
        <f t="shared" si="11"/>
        <v/>
      </c>
    </row>
    <row r="341" spans="1:10" x14ac:dyDescent="0.25">
      <c r="A341" t="s">
        <v>1461</v>
      </c>
      <c r="B341" t="s">
        <v>1460</v>
      </c>
      <c r="C341" t="s">
        <v>1457</v>
      </c>
      <c r="D341" t="str">
        <f>_xlfn.XLOOKUP(ISIC_Rev_5_english_structure__1[[#This Row],[Column4]],INDUSTRYGROUP!$C$2:$C$23,INDUSTRYGROUP!$D$2:$D$23,"NONE")</f>
        <v>NONE</v>
      </c>
      <c r="E341" t="str">
        <f>_xlfn.XLOOKUP(LEFT(A341,2),SECTOR!$A$2:$A$88,SECTOR!$A$2:$A$88,"")</f>
        <v/>
      </c>
      <c r="F341" t="str">
        <f>_xlfn.XLOOKUP(LEFT(A341,2),SECTOR!$A$2:$A$88,SECTOR!$B$2:$B$88,"")</f>
        <v/>
      </c>
      <c r="G341" t="str">
        <f>_xlfn.XLOOKUP(LEFT(A341,3),INDUSTRY!$A$2:$A$259,INDUSTRY!$A$2:$A$259,"")</f>
        <v>360</v>
      </c>
      <c r="H341" t="str">
        <f>_xlfn.XLOOKUP(LEFT(A341,3),INDUSTRY!$A$2:$A$259,INDUSTRY!$B$2:$B$259,"")</f>
        <v>Water collection, treatment and supply</v>
      </c>
      <c r="I341" t="str">
        <f t="shared" si="10"/>
        <v/>
      </c>
      <c r="J341" t="str">
        <f t="shared" si="11"/>
        <v/>
      </c>
    </row>
    <row r="342" spans="1:10" x14ac:dyDescent="0.25">
      <c r="A342" t="s">
        <v>1462</v>
      </c>
      <c r="B342" t="s">
        <v>1460</v>
      </c>
      <c r="C342" t="s">
        <v>1457</v>
      </c>
      <c r="D342" t="str">
        <f>_xlfn.XLOOKUP(ISIC_Rev_5_english_structure__1[[#This Row],[Column4]],INDUSTRYGROUP!$C$2:$C$23,INDUSTRYGROUP!$D$2:$D$23,"NONE")</f>
        <v>NONE</v>
      </c>
      <c r="E342" t="str">
        <f>_xlfn.XLOOKUP(LEFT(A342,2),SECTOR!$A$2:$A$88,SECTOR!$A$2:$A$88,"")</f>
        <v/>
      </c>
      <c r="F342" t="str">
        <f>_xlfn.XLOOKUP(LEFT(A342,2),SECTOR!$A$2:$A$88,SECTOR!$B$2:$B$88,"")</f>
        <v/>
      </c>
      <c r="G342" t="str">
        <f>_xlfn.XLOOKUP(LEFT(A342,3),INDUSTRY!$A$2:$A$259,INDUSTRY!$A$2:$A$259,"")</f>
        <v>360</v>
      </c>
      <c r="H342" t="str">
        <f>_xlfn.XLOOKUP(LEFT(A342,3),INDUSTRY!$A$2:$A$259,INDUSTRY!$B$2:$B$259,"")</f>
        <v>Water collection, treatment and supply</v>
      </c>
      <c r="I342" t="str">
        <f t="shared" si="10"/>
        <v>3600</v>
      </c>
      <c r="J342" t="str">
        <f t="shared" si="11"/>
        <v>Water collection, treatment and supply</v>
      </c>
    </row>
    <row r="343" spans="1:10" x14ac:dyDescent="0.25">
      <c r="A343" t="s">
        <v>1463</v>
      </c>
      <c r="B343" t="s">
        <v>1464</v>
      </c>
      <c r="C343" t="s">
        <v>1457</v>
      </c>
      <c r="D343" t="str">
        <f>_xlfn.XLOOKUP(ISIC_Rev_5_english_structure__1[[#This Row],[Column4]],INDUSTRYGROUP!$C$2:$C$23,INDUSTRYGROUP!$D$2:$D$23,"NONE")</f>
        <v>NONE</v>
      </c>
      <c r="E343" t="str">
        <f>_xlfn.XLOOKUP(LEFT(A343,2),SECTOR!$A$2:$A$88,SECTOR!$A$2:$A$88,"")</f>
        <v/>
      </c>
      <c r="F343" t="str">
        <f>_xlfn.XLOOKUP(LEFT(A343,2),SECTOR!$A$2:$A$88,SECTOR!$B$2:$B$88,"")</f>
        <v/>
      </c>
      <c r="G343" t="str">
        <f>_xlfn.XLOOKUP(LEFT(A343,3),INDUSTRY!$A$2:$A$259,INDUSTRY!$A$2:$A$259,"")</f>
        <v/>
      </c>
      <c r="H343" t="str">
        <f>_xlfn.XLOOKUP(LEFT(A343,3),INDUSTRY!$A$2:$A$259,INDUSTRY!$B$2:$B$259,"")</f>
        <v/>
      </c>
      <c r="I343" t="str">
        <f t="shared" si="10"/>
        <v/>
      </c>
      <c r="J343" t="str">
        <f t="shared" si="11"/>
        <v/>
      </c>
    </row>
    <row r="344" spans="1:10" x14ac:dyDescent="0.25">
      <c r="A344" t="s">
        <v>1465</v>
      </c>
      <c r="B344" t="s">
        <v>1464</v>
      </c>
      <c r="C344" t="s">
        <v>1457</v>
      </c>
      <c r="D344" t="str">
        <f>_xlfn.XLOOKUP(ISIC_Rev_5_english_structure__1[[#This Row],[Column4]],INDUSTRYGROUP!$C$2:$C$23,INDUSTRYGROUP!$D$2:$D$23,"NONE")</f>
        <v>NONE</v>
      </c>
      <c r="E344" t="str">
        <f>_xlfn.XLOOKUP(LEFT(A344,2),SECTOR!$A$2:$A$88,SECTOR!$A$2:$A$88,"")</f>
        <v/>
      </c>
      <c r="F344" t="str">
        <f>_xlfn.XLOOKUP(LEFT(A344,2),SECTOR!$A$2:$A$88,SECTOR!$B$2:$B$88,"")</f>
        <v/>
      </c>
      <c r="G344" t="str">
        <f>_xlfn.XLOOKUP(LEFT(A344,3),INDUSTRY!$A$2:$A$259,INDUSTRY!$A$2:$A$259,"")</f>
        <v>370</v>
      </c>
      <c r="H344" t="str">
        <f>_xlfn.XLOOKUP(LEFT(A344,3),INDUSTRY!$A$2:$A$259,INDUSTRY!$B$2:$B$259,"")</f>
        <v>Sewerage</v>
      </c>
      <c r="I344" t="str">
        <f t="shared" si="10"/>
        <v/>
      </c>
      <c r="J344" t="str">
        <f t="shared" si="11"/>
        <v/>
      </c>
    </row>
    <row r="345" spans="1:10" x14ac:dyDescent="0.25">
      <c r="A345" t="s">
        <v>1466</v>
      </c>
      <c r="B345" t="s">
        <v>1464</v>
      </c>
      <c r="C345" t="s">
        <v>1457</v>
      </c>
      <c r="D345" t="str">
        <f>_xlfn.XLOOKUP(ISIC_Rev_5_english_structure__1[[#This Row],[Column4]],INDUSTRYGROUP!$C$2:$C$23,INDUSTRYGROUP!$D$2:$D$23,"NONE")</f>
        <v>NONE</v>
      </c>
      <c r="E345" t="str">
        <f>_xlfn.XLOOKUP(LEFT(A345,2),SECTOR!$A$2:$A$88,SECTOR!$A$2:$A$88,"")</f>
        <v/>
      </c>
      <c r="F345" t="str">
        <f>_xlfn.XLOOKUP(LEFT(A345,2),SECTOR!$A$2:$A$88,SECTOR!$B$2:$B$88,"")</f>
        <v/>
      </c>
      <c r="G345" t="str">
        <f>_xlfn.XLOOKUP(LEFT(A345,3),INDUSTRY!$A$2:$A$259,INDUSTRY!$A$2:$A$259,"")</f>
        <v>370</v>
      </c>
      <c r="H345" t="str">
        <f>_xlfn.XLOOKUP(LEFT(A345,3),INDUSTRY!$A$2:$A$259,INDUSTRY!$B$2:$B$259,"")</f>
        <v>Sewerage</v>
      </c>
      <c r="I345" t="str">
        <f t="shared" si="10"/>
        <v>3700</v>
      </c>
      <c r="J345" t="str">
        <f t="shared" si="11"/>
        <v>Sewerage</v>
      </c>
    </row>
    <row r="346" spans="1:10" x14ac:dyDescent="0.25">
      <c r="A346" t="s">
        <v>1467</v>
      </c>
      <c r="B346" t="s">
        <v>1468</v>
      </c>
      <c r="C346" t="s">
        <v>1457</v>
      </c>
      <c r="D346" t="str">
        <f>_xlfn.XLOOKUP(ISIC_Rev_5_english_structure__1[[#This Row],[Column4]],INDUSTRYGROUP!$C$2:$C$23,INDUSTRYGROUP!$D$2:$D$23,"NONE")</f>
        <v>NONE</v>
      </c>
      <c r="E346" t="str">
        <f>_xlfn.XLOOKUP(LEFT(A346,2),SECTOR!$A$2:$A$88,SECTOR!$A$2:$A$88,"")</f>
        <v/>
      </c>
      <c r="F346" t="str">
        <f>_xlfn.XLOOKUP(LEFT(A346,2),SECTOR!$A$2:$A$88,SECTOR!$B$2:$B$88,"")</f>
        <v/>
      </c>
      <c r="G346" t="str">
        <f>_xlfn.XLOOKUP(LEFT(A346,3),INDUSTRY!$A$2:$A$259,INDUSTRY!$A$2:$A$259,"")</f>
        <v/>
      </c>
      <c r="H346" t="str">
        <f>_xlfn.XLOOKUP(LEFT(A346,3),INDUSTRY!$A$2:$A$259,INDUSTRY!$B$2:$B$259,"")</f>
        <v/>
      </c>
      <c r="I346" t="str">
        <f t="shared" si="10"/>
        <v/>
      </c>
      <c r="J346" t="str">
        <f t="shared" si="11"/>
        <v/>
      </c>
    </row>
    <row r="347" spans="1:10" x14ac:dyDescent="0.25">
      <c r="A347" t="s">
        <v>1469</v>
      </c>
      <c r="B347" t="s">
        <v>1470</v>
      </c>
      <c r="C347" t="s">
        <v>1457</v>
      </c>
      <c r="D347" t="str">
        <f>_xlfn.XLOOKUP(ISIC_Rev_5_english_structure__1[[#This Row],[Column4]],INDUSTRYGROUP!$C$2:$C$23,INDUSTRYGROUP!$D$2:$D$23,"NONE")</f>
        <v>NONE</v>
      </c>
      <c r="E347" t="str">
        <f>_xlfn.XLOOKUP(LEFT(A347,2),SECTOR!$A$2:$A$88,SECTOR!$A$2:$A$88,"")</f>
        <v/>
      </c>
      <c r="F347" t="str">
        <f>_xlfn.XLOOKUP(LEFT(A347,2),SECTOR!$A$2:$A$88,SECTOR!$B$2:$B$88,"")</f>
        <v/>
      </c>
      <c r="G347" t="str">
        <f>_xlfn.XLOOKUP(LEFT(A347,3),INDUSTRY!$A$2:$A$259,INDUSTRY!$A$2:$A$259,"")</f>
        <v>381</v>
      </c>
      <c r="H347" t="str">
        <f>_xlfn.XLOOKUP(LEFT(A347,3),INDUSTRY!$A$2:$A$259,INDUSTRY!$B$2:$B$259,"")</f>
        <v>Waste collection activities</v>
      </c>
      <c r="I347" t="str">
        <f t="shared" si="10"/>
        <v/>
      </c>
      <c r="J347" t="str">
        <f t="shared" si="11"/>
        <v/>
      </c>
    </row>
    <row r="348" spans="1:10" x14ac:dyDescent="0.25">
      <c r="A348" t="s">
        <v>1471</v>
      </c>
      <c r="B348" t="s">
        <v>1472</v>
      </c>
      <c r="C348" t="s">
        <v>1457</v>
      </c>
      <c r="D348" t="str">
        <f>_xlfn.XLOOKUP(ISIC_Rev_5_english_structure__1[[#This Row],[Column4]],INDUSTRYGROUP!$C$2:$C$23,INDUSTRYGROUP!$D$2:$D$23,"NONE")</f>
        <v>NONE</v>
      </c>
      <c r="E348" t="str">
        <f>_xlfn.XLOOKUP(LEFT(A348,2),SECTOR!$A$2:$A$88,SECTOR!$A$2:$A$88,"")</f>
        <v/>
      </c>
      <c r="F348" t="str">
        <f>_xlfn.XLOOKUP(LEFT(A348,2),SECTOR!$A$2:$A$88,SECTOR!$B$2:$B$88,"")</f>
        <v/>
      </c>
      <c r="G348" t="str">
        <f>_xlfn.XLOOKUP(LEFT(A348,3),INDUSTRY!$A$2:$A$259,INDUSTRY!$A$2:$A$259,"")</f>
        <v>381</v>
      </c>
      <c r="H348" t="str">
        <f>_xlfn.XLOOKUP(LEFT(A348,3),INDUSTRY!$A$2:$A$259,INDUSTRY!$B$2:$B$259,"")</f>
        <v>Waste collection activities</v>
      </c>
      <c r="I348" t="str">
        <f t="shared" si="10"/>
        <v>3811</v>
      </c>
      <c r="J348" t="str">
        <f t="shared" si="11"/>
        <v>Collection of non-hazardous waste</v>
      </c>
    </row>
    <row r="349" spans="1:10" x14ac:dyDescent="0.25">
      <c r="A349" t="s">
        <v>1473</v>
      </c>
      <c r="B349" t="s">
        <v>1474</v>
      </c>
      <c r="C349" t="s">
        <v>1457</v>
      </c>
      <c r="D349" t="str">
        <f>_xlfn.XLOOKUP(ISIC_Rev_5_english_structure__1[[#This Row],[Column4]],INDUSTRYGROUP!$C$2:$C$23,INDUSTRYGROUP!$D$2:$D$23,"NONE")</f>
        <v>NONE</v>
      </c>
      <c r="E349" t="str">
        <f>_xlfn.XLOOKUP(LEFT(A349,2),SECTOR!$A$2:$A$88,SECTOR!$A$2:$A$88,"")</f>
        <v/>
      </c>
      <c r="F349" t="str">
        <f>_xlfn.XLOOKUP(LEFT(A349,2),SECTOR!$A$2:$A$88,SECTOR!$B$2:$B$88,"")</f>
        <v/>
      </c>
      <c r="G349" t="str">
        <f>_xlfn.XLOOKUP(LEFT(A349,3),INDUSTRY!$A$2:$A$259,INDUSTRY!$A$2:$A$259,"")</f>
        <v>381</v>
      </c>
      <c r="H349" t="str">
        <f>_xlfn.XLOOKUP(LEFT(A349,3),INDUSTRY!$A$2:$A$259,INDUSTRY!$B$2:$B$259,"")</f>
        <v>Waste collection activities</v>
      </c>
      <c r="I349" t="str">
        <f t="shared" si="10"/>
        <v>3812</v>
      </c>
      <c r="J349" t="str">
        <f t="shared" si="11"/>
        <v>Collection of hazardous waste</v>
      </c>
    </row>
    <row r="350" spans="1:10" x14ac:dyDescent="0.25">
      <c r="A350" t="s">
        <v>1475</v>
      </c>
      <c r="B350" t="s">
        <v>1476</v>
      </c>
      <c r="C350" t="s">
        <v>1457</v>
      </c>
      <c r="D350" t="str">
        <f>_xlfn.XLOOKUP(ISIC_Rev_5_english_structure__1[[#This Row],[Column4]],INDUSTRYGROUP!$C$2:$C$23,INDUSTRYGROUP!$D$2:$D$23,"NONE")</f>
        <v>NONE</v>
      </c>
      <c r="E350" t="str">
        <f>_xlfn.XLOOKUP(LEFT(A350,2),SECTOR!$A$2:$A$88,SECTOR!$A$2:$A$88,"")</f>
        <v/>
      </c>
      <c r="F350" t="str">
        <f>_xlfn.XLOOKUP(LEFT(A350,2),SECTOR!$A$2:$A$88,SECTOR!$B$2:$B$88,"")</f>
        <v/>
      </c>
      <c r="G350" t="str">
        <f>_xlfn.XLOOKUP(LEFT(A350,3),INDUSTRY!$A$2:$A$259,INDUSTRY!$A$2:$A$259,"")</f>
        <v>382</v>
      </c>
      <c r="H350" t="str">
        <f>_xlfn.XLOOKUP(LEFT(A350,3),INDUSTRY!$A$2:$A$259,INDUSTRY!$B$2:$B$259,"")</f>
        <v>Waste treatment and disposal</v>
      </c>
      <c r="I350" t="str">
        <f t="shared" si="10"/>
        <v/>
      </c>
      <c r="J350" t="str">
        <f t="shared" si="11"/>
        <v/>
      </c>
    </row>
    <row r="351" spans="1:10" x14ac:dyDescent="0.25">
      <c r="A351" t="s">
        <v>1477</v>
      </c>
      <c r="B351" t="s">
        <v>1478</v>
      </c>
      <c r="C351" t="s">
        <v>1457</v>
      </c>
      <c r="D351" t="str">
        <f>_xlfn.XLOOKUP(ISIC_Rev_5_english_structure__1[[#This Row],[Column4]],INDUSTRYGROUP!$C$2:$C$23,INDUSTRYGROUP!$D$2:$D$23,"NONE")</f>
        <v>NONE</v>
      </c>
      <c r="E351" t="str">
        <f>_xlfn.XLOOKUP(LEFT(A351,2),SECTOR!$A$2:$A$88,SECTOR!$A$2:$A$88,"")</f>
        <v/>
      </c>
      <c r="F351" t="str">
        <f>_xlfn.XLOOKUP(LEFT(A351,2),SECTOR!$A$2:$A$88,SECTOR!$B$2:$B$88,"")</f>
        <v/>
      </c>
      <c r="G351" t="str">
        <f>_xlfn.XLOOKUP(LEFT(A351,3),INDUSTRY!$A$2:$A$259,INDUSTRY!$A$2:$A$259,"")</f>
        <v>382</v>
      </c>
      <c r="H351" t="str">
        <f>_xlfn.XLOOKUP(LEFT(A351,3),INDUSTRY!$A$2:$A$259,INDUSTRY!$B$2:$B$259,"")</f>
        <v>Waste treatment and disposal</v>
      </c>
      <c r="I351" t="str">
        <f t="shared" si="10"/>
        <v>3821</v>
      </c>
      <c r="J351" t="str">
        <f t="shared" si="11"/>
        <v>Treatment and disposal of non-hazardous waste</v>
      </c>
    </row>
    <row r="352" spans="1:10" x14ac:dyDescent="0.25">
      <c r="A352" t="s">
        <v>1479</v>
      </c>
      <c r="B352" t="s">
        <v>1480</v>
      </c>
      <c r="C352" t="s">
        <v>1457</v>
      </c>
      <c r="D352" t="str">
        <f>_xlfn.XLOOKUP(ISIC_Rev_5_english_structure__1[[#This Row],[Column4]],INDUSTRYGROUP!$C$2:$C$23,INDUSTRYGROUP!$D$2:$D$23,"NONE")</f>
        <v>NONE</v>
      </c>
      <c r="E352" t="str">
        <f>_xlfn.XLOOKUP(LEFT(A352,2),SECTOR!$A$2:$A$88,SECTOR!$A$2:$A$88,"")</f>
        <v/>
      </c>
      <c r="F352" t="str">
        <f>_xlfn.XLOOKUP(LEFT(A352,2),SECTOR!$A$2:$A$88,SECTOR!$B$2:$B$88,"")</f>
        <v/>
      </c>
      <c r="G352" t="str">
        <f>_xlfn.XLOOKUP(LEFT(A352,3),INDUSTRY!$A$2:$A$259,INDUSTRY!$A$2:$A$259,"")</f>
        <v>382</v>
      </c>
      <c r="H352" t="str">
        <f>_xlfn.XLOOKUP(LEFT(A352,3),INDUSTRY!$A$2:$A$259,INDUSTRY!$B$2:$B$259,"")</f>
        <v>Waste treatment and disposal</v>
      </c>
      <c r="I352" t="str">
        <f t="shared" si="10"/>
        <v>3822</v>
      </c>
      <c r="J352" t="str">
        <f t="shared" si="11"/>
        <v>Treatment and disposal of hazardous waste</v>
      </c>
    </row>
    <row r="353" spans="1:10" x14ac:dyDescent="0.25">
      <c r="A353" t="s">
        <v>1481</v>
      </c>
      <c r="B353" t="s">
        <v>1482</v>
      </c>
      <c r="C353" t="s">
        <v>1457</v>
      </c>
      <c r="D353" t="str">
        <f>_xlfn.XLOOKUP(ISIC_Rev_5_english_structure__1[[#This Row],[Column4]],INDUSTRYGROUP!$C$2:$C$23,INDUSTRYGROUP!$D$2:$D$23,"NONE")</f>
        <v>NONE</v>
      </c>
      <c r="E353" t="str">
        <f>_xlfn.XLOOKUP(LEFT(A353,2),SECTOR!$A$2:$A$88,SECTOR!$A$2:$A$88,"")</f>
        <v/>
      </c>
      <c r="F353" t="str">
        <f>_xlfn.XLOOKUP(LEFT(A353,2),SECTOR!$A$2:$A$88,SECTOR!$B$2:$B$88,"")</f>
        <v/>
      </c>
      <c r="G353" t="str">
        <f>_xlfn.XLOOKUP(LEFT(A353,3),INDUSTRY!$A$2:$A$259,INDUSTRY!$A$2:$A$259,"")</f>
        <v>383</v>
      </c>
      <c r="H353" t="str">
        <f>_xlfn.XLOOKUP(LEFT(A353,3),INDUSTRY!$A$2:$A$259,INDUSTRY!$B$2:$B$259,"")</f>
        <v>Materials and other waste recovery</v>
      </c>
      <c r="I353" t="str">
        <f t="shared" si="10"/>
        <v/>
      </c>
      <c r="J353" t="str">
        <f t="shared" si="11"/>
        <v/>
      </c>
    </row>
    <row r="354" spans="1:10" x14ac:dyDescent="0.25">
      <c r="A354" t="s">
        <v>1483</v>
      </c>
      <c r="B354" t="s">
        <v>1482</v>
      </c>
      <c r="C354" t="s">
        <v>1457</v>
      </c>
      <c r="D354" t="str">
        <f>_xlfn.XLOOKUP(ISIC_Rev_5_english_structure__1[[#This Row],[Column4]],INDUSTRYGROUP!$C$2:$C$23,INDUSTRYGROUP!$D$2:$D$23,"NONE")</f>
        <v>NONE</v>
      </c>
      <c r="E354" t="str">
        <f>_xlfn.XLOOKUP(LEFT(A354,2),SECTOR!$A$2:$A$88,SECTOR!$A$2:$A$88,"")</f>
        <v/>
      </c>
      <c r="F354" t="str">
        <f>_xlfn.XLOOKUP(LEFT(A354,2),SECTOR!$A$2:$A$88,SECTOR!$B$2:$B$88,"")</f>
        <v/>
      </c>
      <c r="G354" t="str">
        <f>_xlfn.XLOOKUP(LEFT(A354,3),INDUSTRY!$A$2:$A$259,INDUSTRY!$A$2:$A$259,"")</f>
        <v>383</v>
      </c>
      <c r="H354" t="str">
        <f>_xlfn.XLOOKUP(LEFT(A354,3),INDUSTRY!$A$2:$A$259,INDUSTRY!$B$2:$B$259,"")</f>
        <v>Materials and other waste recovery</v>
      </c>
      <c r="I354" t="str">
        <f t="shared" si="10"/>
        <v>3830</v>
      </c>
      <c r="J354" t="str">
        <f t="shared" si="11"/>
        <v>Materials and other waste recovery</v>
      </c>
    </row>
    <row r="355" spans="1:10" x14ac:dyDescent="0.25">
      <c r="A355" t="s">
        <v>1484</v>
      </c>
      <c r="B355" t="s">
        <v>1485</v>
      </c>
      <c r="C355" t="s">
        <v>1457</v>
      </c>
      <c r="D355" t="str">
        <f>_xlfn.XLOOKUP(ISIC_Rev_5_english_structure__1[[#This Row],[Column4]],INDUSTRYGROUP!$C$2:$C$23,INDUSTRYGROUP!$D$2:$D$23,"NONE")</f>
        <v>NONE</v>
      </c>
      <c r="E355" t="str">
        <f>_xlfn.XLOOKUP(LEFT(A355,2),SECTOR!$A$2:$A$88,SECTOR!$A$2:$A$88,"")</f>
        <v/>
      </c>
      <c r="F355" t="str">
        <f>_xlfn.XLOOKUP(LEFT(A355,2),SECTOR!$A$2:$A$88,SECTOR!$B$2:$B$88,"")</f>
        <v/>
      </c>
      <c r="G355" t="str">
        <f>_xlfn.XLOOKUP(LEFT(A355,3),INDUSTRY!$A$2:$A$259,INDUSTRY!$A$2:$A$259,"")</f>
        <v/>
      </c>
      <c r="H355" t="str">
        <f>_xlfn.XLOOKUP(LEFT(A355,3),INDUSTRY!$A$2:$A$259,INDUSTRY!$B$2:$B$259,"")</f>
        <v/>
      </c>
      <c r="I355" t="str">
        <f t="shared" si="10"/>
        <v/>
      </c>
      <c r="J355" t="str">
        <f t="shared" si="11"/>
        <v/>
      </c>
    </row>
    <row r="356" spans="1:10" x14ac:dyDescent="0.25">
      <c r="A356" t="s">
        <v>1486</v>
      </c>
      <c r="B356" t="s">
        <v>1485</v>
      </c>
      <c r="C356" t="s">
        <v>1457</v>
      </c>
      <c r="D356" t="str">
        <f>_xlfn.XLOOKUP(ISIC_Rev_5_english_structure__1[[#This Row],[Column4]],INDUSTRYGROUP!$C$2:$C$23,INDUSTRYGROUP!$D$2:$D$23,"NONE")</f>
        <v>NONE</v>
      </c>
      <c r="E356" t="str">
        <f>_xlfn.XLOOKUP(LEFT(A356,2),SECTOR!$A$2:$A$88,SECTOR!$A$2:$A$88,"")</f>
        <v/>
      </c>
      <c r="F356" t="str">
        <f>_xlfn.XLOOKUP(LEFT(A356,2),SECTOR!$A$2:$A$88,SECTOR!$B$2:$B$88,"")</f>
        <v/>
      </c>
      <c r="G356" t="str">
        <f>_xlfn.XLOOKUP(LEFT(A356,3),INDUSTRY!$A$2:$A$259,INDUSTRY!$A$2:$A$259,"")</f>
        <v>390</v>
      </c>
      <c r="H356" t="str">
        <f>_xlfn.XLOOKUP(LEFT(A356,3),INDUSTRY!$A$2:$A$259,INDUSTRY!$B$2:$B$259,"")</f>
        <v>Remediation and other waste management service activities</v>
      </c>
      <c r="I356" t="str">
        <f t="shared" si="10"/>
        <v/>
      </c>
      <c r="J356" t="str">
        <f t="shared" si="11"/>
        <v/>
      </c>
    </row>
    <row r="357" spans="1:10" x14ac:dyDescent="0.25">
      <c r="A357" t="s">
        <v>1487</v>
      </c>
      <c r="B357" t="s">
        <v>1485</v>
      </c>
      <c r="C357" t="s">
        <v>1457</v>
      </c>
      <c r="D357" t="str">
        <f>_xlfn.XLOOKUP(ISIC_Rev_5_english_structure__1[[#This Row],[Column4]],INDUSTRYGROUP!$C$2:$C$23,INDUSTRYGROUP!$D$2:$D$23,"NONE")</f>
        <v>NONE</v>
      </c>
      <c r="E357" t="str">
        <f>_xlfn.XLOOKUP(LEFT(A357,2),SECTOR!$A$2:$A$88,SECTOR!$A$2:$A$88,"")</f>
        <v/>
      </c>
      <c r="F357" t="str">
        <f>_xlfn.XLOOKUP(LEFT(A357,2),SECTOR!$A$2:$A$88,SECTOR!$B$2:$B$88,"")</f>
        <v/>
      </c>
      <c r="G357" t="str">
        <f>_xlfn.XLOOKUP(LEFT(A357,3),INDUSTRY!$A$2:$A$259,INDUSTRY!$A$2:$A$259,"")</f>
        <v>390</v>
      </c>
      <c r="H357" t="str">
        <f>_xlfn.XLOOKUP(LEFT(A357,3),INDUSTRY!$A$2:$A$259,INDUSTRY!$B$2:$B$259,"")</f>
        <v>Remediation and other waste management service activities</v>
      </c>
      <c r="I357" t="str">
        <f t="shared" si="10"/>
        <v>3900</v>
      </c>
      <c r="J357" t="str">
        <f t="shared" si="11"/>
        <v>Remediation and other waste management service activities</v>
      </c>
    </row>
    <row r="358" spans="1:10" x14ac:dyDescent="0.25">
      <c r="A358" t="s">
        <v>1488</v>
      </c>
      <c r="B358" t="s">
        <v>1489</v>
      </c>
      <c r="C358" t="s">
        <v>1488</v>
      </c>
      <c r="D358" t="str">
        <f>_xlfn.XLOOKUP(ISIC_Rev_5_english_structure__1[[#This Row],[Column4]],INDUSTRYGROUP!$C$2:$C$23,INDUSTRYGROUP!$D$2:$D$23,"NONE")</f>
        <v>NONE</v>
      </c>
      <c r="E358" t="str">
        <f>_xlfn.XLOOKUP(LEFT(A358,2),SECTOR!$A$2:$A$88,SECTOR!$A$2:$A$88,"")</f>
        <v>F</v>
      </c>
      <c r="F358" t="str">
        <f>_xlfn.XLOOKUP(LEFT(A358,2),SECTOR!$A$2:$A$88,SECTOR!$B$2:$B$88,"")</f>
        <v>Construction</v>
      </c>
      <c r="G358" t="str">
        <f>_xlfn.XLOOKUP(LEFT(A358,3),INDUSTRY!$A$2:$A$259,INDUSTRY!$A$2:$A$259,"")</f>
        <v/>
      </c>
      <c r="H358" t="str">
        <f>_xlfn.XLOOKUP(LEFT(A358,3),INDUSTRY!$A$2:$A$259,INDUSTRY!$B$2:$B$259,"")</f>
        <v/>
      </c>
      <c r="I358" t="str">
        <f t="shared" si="10"/>
        <v/>
      </c>
      <c r="J358" t="str">
        <f t="shared" si="11"/>
        <v/>
      </c>
    </row>
    <row r="359" spans="1:10" x14ac:dyDescent="0.25">
      <c r="A359" t="s">
        <v>1490</v>
      </c>
      <c r="B359" t="s">
        <v>1491</v>
      </c>
      <c r="C359" t="s">
        <v>1488</v>
      </c>
      <c r="D359" t="str">
        <f>_xlfn.XLOOKUP(ISIC_Rev_5_english_structure__1[[#This Row],[Column4]],INDUSTRYGROUP!$C$2:$C$23,INDUSTRYGROUP!$D$2:$D$23,"NONE")</f>
        <v>NONE</v>
      </c>
      <c r="E359" t="str">
        <f>_xlfn.XLOOKUP(LEFT(A359,2),SECTOR!$A$2:$A$88,SECTOR!$A$2:$A$88,"")</f>
        <v/>
      </c>
      <c r="F359" t="str">
        <f>_xlfn.XLOOKUP(LEFT(A359,2),SECTOR!$A$2:$A$88,SECTOR!$B$2:$B$88,"")</f>
        <v/>
      </c>
      <c r="G359" t="str">
        <f>_xlfn.XLOOKUP(LEFT(A359,3),INDUSTRY!$A$2:$A$259,INDUSTRY!$A$2:$A$259,"")</f>
        <v/>
      </c>
      <c r="H359" t="str">
        <f>_xlfn.XLOOKUP(LEFT(A359,3),INDUSTRY!$A$2:$A$259,INDUSTRY!$B$2:$B$259,"")</f>
        <v/>
      </c>
      <c r="I359" t="str">
        <f t="shared" si="10"/>
        <v/>
      </c>
      <c r="J359" t="str">
        <f t="shared" si="11"/>
        <v/>
      </c>
    </row>
    <row r="360" spans="1:10" x14ac:dyDescent="0.25">
      <c r="A360" t="s">
        <v>1492</v>
      </c>
      <c r="B360" t="s">
        <v>1491</v>
      </c>
      <c r="C360" t="s">
        <v>1488</v>
      </c>
      <c r="D360" t="str">
        <f>_xlfn.XLOOKUP(ISIC_Rev_5_english_structure__1[[#This Row],[Column4]],INDUSTRYGROUP!$C$2:$C$23,INDUSTRYGROUP!$D$2:$D$23,"NONE")</f>
        <v>NONE</v>
      </c>
      <c r="E360" t="str">
        <f>_xlfn.XLOOKUP(LEFT(A360,2),SECTOR!$A$2:$A$88,SECTOR!$A$2:$A$88,"")</f>
        <v/>
      </c>
      <c r="F360" t="str">
        <f>_xlfn.XLOOKUP(LEFT(A360,2),SECTOR!$A$2:$A$88,SECTOR!$B$2:$B$88,"")</f>
        <v/>
      </c>
      <c r="G360" t="str">
        <f>_xlfn.XLOOKUP(LEFT(A360,3),INDUSTRY!$A$2:$A$259,INDUSTRY!$A$2:$A$259,"")</f>
        <v>410</v>
      </c>
      <c r="H360" t="str">
        <f>_xlfn.XLOOKUP(LEFT(A360,3),INDUSTRY!$A$2:$A$259,INDUSTRY!$B$2:$B$259,"")</f>
        <v>Construction of residential and non-residential buildings</v>
      </c>
      <c r="I360" t="str">
        <f t="shared" si="10"/>
        <v/>
      </c>
      <c r="J360" t="str">
        <f t="shared" si="11"/>
        <v/>
      </c>
    </row>
    <row r="361" spans="1:10" x14ac:dyDescent="0.25">
      <c r="A361" t="s">
        <v>1493</v>
      </c>
      <c r="B361" t="s">
        <v>1491</v>
      </c>
      <c r="C361" t="s">
        <v>1488</v>
      </c>
      <c r="D361" t="str">
        <f>_xlfn.XLOOKUP(ISIC_Rev_5_english_structure__1[[#This Row],[Column4]],INDUSTRYGROUP!$C$2:$C$23,INDUSTRYGROUP!$D$2:$D$23,"NONE")</f>
        <v>NONE</v>
      </c>
      <c r="E361" t="str">
        <f>_xlfn.XLOOKUP(LEFT(A361,2),SECTOR!$A$2:$A$88,SECTOR!$A$2:$A$88,"")</f>
        <v/>
      </c>
      <c r="F361" t="str">
        <f>_xlfn.XLOOKUP(LEFT(A361,2),SECTOR!$A$2:$A$88,SECTOR!$B$2:$B$88,"")</f>
        <v/>
      </c>
      <c r="G361" t="str">
        <f>_xlfn.XLOOKUP(LEFT(A361,3),INDUSTRY!$A$2:$A$259,INDUSTRY!$A$2:$A$259,"")</f>
        <v>410</v>
      </c>
      <c r="H361" t="str">
        <f>_xlfn.XLOOKUP(LEFT(A361,3),INDUSTRY!$A$2:$A$259,INDUSTRY!$B$2:$B$259,"")</f>
        <v>Construction of residential and non-residential buildings</v>
      </c>
      <c r="I361" t="str">
        <f t="shared" si="10"/>
        <v>4100</v>
      </c>
      <c r="J361" t="str">
        <f t="shared" si="11"/>
        <v>Construction of residential and non-residential buildings</v>
      </c>
    </row>
    <row r="362" spans="1:10" x14ac:dyDescent="0.25">
      <c r="A362" t="s">
        <v>1494</v>
      </c>
      <c r="B362" t="s">
        <v>1495</v>
      </c>
      <c r="C362" t="s">
        <v>1488</v>
      </c>
      <c r="D362" t="str">
        <f>_xlfn.XLOOKUP(ISIC_Rev_5_english_structure__1[[#This Row],[Column4]],INDUSTRYGROUP!$C$2:$C$23,INDUSTRYGROUP!$D$2:$D$23,"NONE")</f>
        <v>NONE</v>
      </c>
      <c r="E362" t="str">
        <f>_xlfn.XLOOKUP(LEFT(A362,2),SECTOR!$A$2:$A$88,SECTOR!$A$2:$A$88,"")</f>
        <v/>
      </c>
      <c r="F362" t="str">
        <f>_xlfn.XLOOKUP(LEFT(A362,2),SECTOR!$A$2:$A$88,SECTOR!$B$2:$B$88,"")</f>
        <v/>
      </c>
      <c r="G362" t="str">
        <f>_xlfn.XLOOKUP(LEFT(A362,3),INDUSTRY!$A$2:$A$259,INDUSTRY!$A$2:$A$259,"")</f>
        <v/>
      </c>
      <c r="H362" t="str">
        <f>_xlfn.XLOOKUP(LEFT(A362,3),INDUSTRY!$A$2:$A$259,INDUSTRY!$B$2:$B$259,"")</f>
        <v/>
      </c>
      <c r="I362" t="str">
        <f t="shared" si="10"/>
        <v/>
      </c>
      <c r="J362" t="str">
        <f t="shared" si="11"/>
        <v/>
      </c>
    </row>
    <row r="363" spans="1:10" x14ac:dyDescent="0.25">
      <c r="A363" t="s">
        <v>1496</v>
      </c>
      <c r="B363" t="s">
        <v>1497</v>
      </c>
      <c r="C363" t="s">
        <v>1488</v>
      </c>
      <c r="D363" t="str">
        <f>_xlfn.XLOOKUP(ISIC_Rev_5_english_structure__1[[#This Row],[Column4]],INDUSTRYGROUP!$C$2:$C$23,INDUSTRYGROUP!$D$2:$D$23,"NONE")</f>
        <v>NONE</v>
      </c>
      <c r="E363" t="str">
        <f>_xlfn.XLOOKUP(LEFT(A363,2),SECTOR!$A$2:$A$88,SECTOR!$A$2:$A$88,"")</f>
        <v/>
      </c>
      <c r="F363" t="str">
        <f>_xlfn.XLOOKUP(LEFT(A363,2),SECTOR!$A$2:$A$88,SECTOR!$B$2:$B$88,"")</f>
        <v/>
      </c>
      <c r="G363" t="str">
        <f>_xlfn.XLOOKUP(LEFT(A363,3),INDUSTRY!$A$2:$A$259,INDUSTRY!$A$2:$A$259,"")</f>
        <v>421</v>
      </c>
      <c r="H363" t="str">
        <f>_xlfn.XLOOKUP(LEFT(A363,3),INDUSTRY!$A$2:$A$259,INDUSTRY!$B$2:$B$259,"")</f>
        <v>Construction of roads and railways</v>
      </c>
      <c r="I363" t="str">
        <f t="shared" si="10"/>
        <v/>
      </c>
      <c r="J363" t="str">
        <f t="shared" si="11"/>
        <v/>
      </c>
    </row>
    <row r="364" spans="1:10" x14ac:dyDescent="0.25">
      <c r="A364" t="s">
        <v>1498</v>
      </c>
      <c r="B364" t="s">
        <v>1497</v>
      </c>
      <c r="C364" t="s">
        <v>1488</v>
      </c>
      <c r="D364" t="str">
        <f>_xlfn.XLOOKUP(ISIC_Rev_5_english_structure__1[[#This Row],[Column4]],INDUSTRYGROUP!$C$2:$C$23,INDUSTRYGROUP!$D$2:$D$23,"NONE")</f>
        <v>NONE</v>
      </c>
      <c r="E364" t="str">
        <f>_xlfn.XLOOKUP(LEFT(A364,2),SECTOR!$A$2:$A$88,SECTOR!$A$2:$A$88,"")</f>
        <v/>
      </c>
      <c r="F364" t="str">
        <f>_xlfn.XLOOKUP(LEFT(A364,2),SECTOR!$A$2:$A$88,SECTOR!$B$2:$B$88,"")</f>
        <v/>
      </c>
      <c r="G364" t="str">
        <f>_xlfn.XLOOKUP(LEFT(A364,3),INDUSTRY!$A$2:$A$259,INDUSTRY!$A$2:$A$259,"")</f>
        <v>421</v>
      </c>
      <c r="H364" t="str">
        <f>_xlfn.XLOOKUP(LEFT(A364,3),INDUSTRY!$A$2:$A$259,INDUSTRY!$B$2:$B$259,"")</f>
        <v>Construction of roads and railways</v>
      </c>
      <c r="I364" t="str">
        <f t="shared" si="10"/>
        <v>4210</v>
      </c>
      <c r="J364" t="str">
        <f t="shared" si="11"/>
        <v>Construction of roads and railways</v>
      </c>
    </row>
    <row r="365" spans="1:10" x14ac:dyDescent="0.25">
      <c r="A365" t="s">
        <v>1499</v>
      </c>
      <c r="B365" t="s">
        <v>1500</v>
      </c>
      <c r="C365" t="s">
        <v>1488</v>
      </c>
      <c r="D365" t="str">
        <f>_xlfn.XLOOKUP(ISIC_Rev_5_english_structure__1[[#This Row],[Column4]],INDUSTRYGROUP!$C$2:$C$23,INDUSTRYGROUP!$D$2:$D$23,"NONE")</f>
        <v>NONE</v>
      </c>
      <c r="E365" t="str">
        <f>_xlfn.XLOOKUP(LEFT(A365,2),SECTOR!$A$2:$A$88,SECTOR!$A$2:$A$88,"")</f>
        <v/>
      </c>
      <c r="F365" t="str">
        <f>_xlfn.XLOOKUP(LEFT(A365,2),SECTOR!$A$2:$A$88,SECTOR!$B$2:$B$88,"")</f>
        <v/>
      </c>
      <c r="G365" t="str">
        <f>_xlfn.XLOOKUP(LEFT(A365,3),INDUSTRY!$A$2:$A$259,INDUSTRY!$A$2:$A$259,"")</f>
        <v>422</v>
      </c>
      <c r="H365" t="str">
        <f>_xlfn.XLOOKUP(LEFT(A365,3),INDUSTRY!$A$2:$A$259,INDUSTRY!$B$2:$B$259,"")</f>
        <v>Construction of utility projects</v>
      </c>
      <c r="I365" t="str">
        <f t="shared" si="10"/>
        <v/>
      </c>
      <c r="J365" t="str">
        <f t="shared" si="11"/>
        <v/>
      </c>
    </row>
    <row r="366" spans="1:10" x14ac:dyDescent="0.25">
      <c r="A366" t="s">
        <v>1501</v>
      </c>
      <c r="B366" t="s">
        <v>1500</v>
      </c>
      <c r="C366" t="s">
        <v>1488</v>
      </c>
      <c r="D366" t="str">
        <f>_xlfn.XLOOKUP(ISIC_Rev_5_english_structure__1[[#This Row],[Column4]],INDUSTRYGROUP!$C$2:$C$23,INDUSTRYGROUP!$D$2:$D$23,"NONE")</f>
        <v>NONE</v>
      </c>
      <c r="E366" t="str">
        <f>_xlfn.XLOOKUP(LEFT(A366,2),SECTOR!$A$2:$A$88,SECTOR!$A$2:$A$88,"")</f>
        <v/>
      </c>
      <c r="F366" t="str">
        <f>_xlfn.XLOOKUP(LEFT(A366,2),SECTOR!$A$2:$A$88,SECTOR!$B$2:$B$88,"")</f>
        <v/>
      </c>
      <c r="G366" t="str">
        <f>_xlfn.XLOOKUP(LEFT(A366,3),INDUSTRY!$A$2:$A$259,INDUSTRY!$A$2:$A$259,"")</f>
        <v>422</v>
      </c>
      <c r="H366" t="str">
        <f>_xlfn.XLOOKUP(LEFT(A366,3),INDUSTRY!$A$2:$A$259,INDUSTRY!$B$2:$B$259,"")</f>
        <v>Construction of utility projects</v>
      </c>
      <c r="I366" t="str">
        <f t="shared" si="10"/>
        <v>4220</v>
      </c>
      <c r="J366" t="str">
        <f t="shared" si="11"/>
        <v>Construction of utility projects</v>
      </c>
    </row>
    <row r="367" spans="1:10" x14ac:dyDescent="0.25">
      <c r="A367" t="s">
        <v>1502</v>
      </c>
      <c r="B367" t="s">
        <v>1503</v>
      </c>
      <c r="C367" t="s">
        <v>1488</v>
      </c>
      <c r="D367" t="str">
        <f>_xlfn.XLOOKUP(ISIC_Rev_5_english_structure__1[[#This Row],[Column4]],INDUSTRYGROUP!$C$2:$C$23,INDUSTRYGROUP!$D$2:$D$23,"NONE")</f>
        <v>NONE</v>
      </c>
      <c r="E367" t="str">
        <f>_xlfn.XLOOKUP(LEFT(A367,2),SECTOR!$A$2:$A$88,SECTOR!$A$2:$A$88,"")</f>
        <v/>
      </c>
      <c r="F367" t="str">
        <f>_xlfn.XLOOKUP(LEFT(A367,2),SECTOR!$A$2:$A$88,SECTOR!$B$2:$B$88,"")</f>
        <v/>
      </c>
      <c r="G367" t="str">
        <f>_xlfn.XLOOKUP(LEFT(A367,3),INDUSTRY!$A$2:$A$259,INDUSTRY!$A$2:$A$259,"")</f>
        <v>429</v>
      </c>
      <c r="H367" t="str">
        <f>_xlfn.XLOOKUP(LEFT(A367,3),INDUSTRY!$A$2:$A$259,INDUSTRY!$B$2:$B$259,"")</f>
        <v>Construction of other civil engineering projects</v>
      </c>
      <c r="I367" t="str">
        <f t="shared" si="10"/>
        <v/>
      </c>
      <c r="J367" t="str">
        <f t="shared" si="11"/>
        <v/>
      </c>
    </row>
    <row r="368" spans="1:10" x14ac:dyDescent="0.25">
      <c r="A368" t="s">
        <v>1504</v>
      </c>
      <c r="B368" t="s">
        <v>1503</v>
      </c>
      <c r="C368" t="s">
        <v>1488</v>
      </c>
      <c r="D368" t="str">
        <f>_xlfn.XLOOKUP(ISIC_Rev_5_english_structure__1[[#This Row],[Column4]],INDUSTRYGROUP!$C$2:$C$23,INDUSTRYGROUP!$D$2:$D$23,"NONE")</f>
        <v>NONE</v>
      </c>
      <c r="E368" t="str">
        <f>_xlfn.XLOOKUP(LEFT(A368,2),SECTOR!$A$2:$A$88,SECTOR!$A$2:$A$88,"")</f>
        <v/>
      </c>
      <c r="F368" t="str">
        <f>_xlfn.XLOOKUP(LEFT(A368,2),SECTOR!$A$2:$A$88,SECTOR!$B$2:$B$88,"")</f>
        <v/>
      </c>
      <c r="G368" t="str">
        <f>_xlfn.XLOOKUP(LEFT(A368,3),INDUSTRY!$A$2:$A$259,INDUSTRY!$A$2:$A$259,"")</f>
        <v>429</v>
      </c>
      <c r="H368" t="str">
        <f>_xlfn.XLOOKUP(LEFT(A368,3),INDUSTRY!$A$2:$A$259,INDUSTRY!$B$2:$B$259,"")</f>
        <v>Construction of other civil engineering projects</v>
      </c>
      <c r="I368" t="str">
        <f t="shared" si="10"/>
        <v>4290</v>
      </c>
      <c r="J368" t="str">
        <f t="shared" si="11"/>
        <v>Construction of other civil engineering projects</v>
      </c>
    </row>
    <row r="369" spans="1:10" x14ac:dyDescent="0.25">
      <c r="A369" t="s">
        <v>1505</v>
      </c>
      <c r="B369" t="s">
        <v>1506</v>
      </c>
      <c r="C369" t="s">
        <v>1488</v>
      </c>
      <c r="D369" t="str">
        <f>_xlfn.XLOOKUP(ISIC_Rev_5_english_structure__1[[#This Row],[Column4]],INDUSTRYGROUP!$C$2:$C$23,INDUSTRYGROUP!$D$2:$D$23,"NONE")</f>
        <v>NONE</v>
      </c>
      <c r="E369" t="str">
        <f>_xlfn.XLOOKUP(LEFT(A369,2),SECTOR!$A$2:$A$88,SECTOR!$A$2:$A$88,"")</f>
        <v/>
      </c>
      <c r="F369" t="str">
        <f>_xlfn.XLOOKUP(LEFT(A369,2),SECTOR!$A$2:$A$88,SECTOR!$B$2:$B$88,"")</f>
        <v/>
      </c>
      <c r="G369" t="str">
        <f>_xlfn.XLOOKUP(LEFT(A369,3),INDUSTRY!$A$2:$A$259,INDUSTRY!$A$2:$A$259,"")</f>
        <v/>
      </c>
      <c r="H369" t="str">
        <f>_xlfn.XLOOKUP(LEFT(A369,3),INDUSTRY!$A$2:$A$259,INDUSTRY!$B$2:$B$259,"")</f>
        <v/>
      </c>
      <c r="I369" t="str">
        <f t="shared" si="10"/>
        <v/>
      </c>
      <c r="J369" t="str">
        <f t="shared" si="11"/>
        <v/>
      </c>
    </row>
    <row r="370" spans="1:10" x14ac:dyDescent="0.25">
      <c r="A370" t="s">
        <v>1507</v>
      </c>
      <c r="B370" t="s">
        <v>1508</v>
      </c>
      <c r="C370" t="s">
        <v>1488</v>
      </c>
      <c r="D370" t="str">
        <f>_xlfn.XLOOKUP(ISIC_Rev_5_english_structure__1[[#This Row],[Column4]],INDUSTRYGROUP!$C$2:$C$23,INDUSTRYGROUP!$D$2:$D$23,"NONE")</f>
        <v>NONE</v>
      </c>
      <c r="E370" t="str">
        <f>_xlfn.XLOOKUP(LEFT(A370,2),SECTOR!$A$2:$A$88,SECTOR!$A$2:$A$88,"")</f>
        <v/>
      </c>
      <c r="F370" t="str">
        <f>_xlfn.XLOOKUP(LEFT(A370,2),SECTOR!$A$2:$A$88,SECTOR!$B$2:$B$88,"")</f>
        <v/>
      </c>
      <c r="G370" t="str">
        <f>_xlfn.XLOOKUP(LEFT(A370,3),INDUSTRY!$A$2:$A$259,INDUSTRY!$A$2:$A$259,"")</f>
        <v>431</v>
      </c>
      <c r="H370" t="str">
        <f>_xlfn.XLOOKUP(LEFT(A370,3),INDUSTRY!$A$2:$A$259,INDUSTRY!$B$2:$B$259,"")</f>
        <v>Demolition and site preparation</v>
      </c>
      <c r="I370" t="str">
        <f t="shared" si="10"/>
        <v/>
      </c>
      <c r="J370" t="str">
        <f t="shared" si="11"/>
        <v/>
      </c>
    </row>
    <row r="371" spans="1:10" x14ac:dyDescent="0.25">
      <c r="A371" t="s">
        <v>1509</v>
      </c>
      <c r="B371" t="s">
        <v>1510</v>
      </c>
      <c r="C371" t="s">
        <v>1488</v>
      </c>
      <c r="D371" t="str">
        <f>_xlfn.XLOOKUP(ISIC_Rev_5_english_structure__1[[#This Row],[Column4]],INDUSTRYGROUP!$C$2:$C$23,INDUSTRYGROUP!$D$2:$D$23,"NONE")</f>
        <v>NONE</v>
      </c>
      <c r="E371" t="str">
        <f>_xlfn.XLOOKUP(LEFT(A371,2),SECTOR!$A$2:$A$88,SECTOR!$A$2:$A$88,"")</f>
        <v/>
      </c>
      <c r="F371" t="str">
        <f>_xlfn.XLOOKUP(LEFT(A371,2),SECTOR!$A$2:$A$88,SECTOR!$B$2:$B$88,"")</f>
        <v/>
      </c>
      <c r="G371" t="str">
        <f>_xlfn.XLOOKUP(LEFT(A371,3),INDUSTRY!$A$2:$A$259,INDUSTRY!$A$2:$A$259,"")</f>
        <v>431</v>
      </c>
      <c r="H371" t="str">
        <f>_xlfn.XLOOKUP(LEFT(A371,3),INDUSTRY!$A$2:$A$259,INDUSTRY!$B$2:$B$259,"")</f>
        <v>Demolition and site preparation</v>
      </c>
      <c r="I371" t="str">
        <f t="shared" si="10"/>
        <v>4311</v>
      </c>
      <c r="J371" t="str">
        <f t="shared" si="11"/>
        <v>Demolition</v>
      </c>
    </row>
    <row r="372" spans="1:10" x14ac:dyDescent="0.25">
      <c r="A372" t="s">
        <v>1511</v>
      </c>
      <c r="B372" t="s">
        <v>1512</v>
      </c>
      <c r="C372" t="s">
        <v>1488</v>
      </c>
      <c r="D372" t="str">
        <f>_xlfn.XLOOKUP(ISIC_Rev_5_english_structure__1[[#This Row],[Column4]],INDUSTRYGROUP!$C$2:$C$23,INDUSTRYGROUP!$D$2:$D$23,"NONE")</f>
        <v>NONE</v>
      </c>
      <c r="E372" t="str">
        <f>_xlfn.XLOOKUP(LEFT(A372,2),SECTOR!$A$2:$A$88,SECTOR!$A$2:$A$88,"")</f>
        <v/>
      </c>
      <c r="F372" t="str">
        <f>_xlfn.XLOOKUP(LEFT(A372,2),SECTOR!$A$2:$A$88,SECTOR!$B$2:$B$88,"")</f>
        <v/>
      </c>
      <c r="G372" t="str">
        <f>_xlfn.XLOOKUP(LEFT(A372,3),INDUSTRY!$A$2:$A$259,INDUSTRY!$A$2:$A$259,"")</f>
        <v>431</v>
      </c>
      <c r="H372" t="str">
        <f>_xlfn.XLOOKUP(LEFT(A372,3),INDUSTRY!$A$2:$A$259,INDUSTRY!$B$2:$B$259,"")</f>
        <v>Demolition and site preparation</v>
      </c>
      <c r="I372" t="str">
        <f t="shared" si="10"/>
        <v>4312</v>
      </c>
      <c r="J372" t="str">
        <f t="shared" si="11"/>
        <v>Site preparation</v>
      </c>
    </row>
    <row r="373" spans="1:10" x14ac:dyDescent="0.25">
      <c r="A373" t="s">
        <v>1513</v>
      </c>
      <c r="B373" t="s">
        <v>1514</v>
      </c>
      <c r="C373" t="s">
        <v>1488</v>
      </c>
      <c r="D373" t="str">
        <f>_xlfn.XLOOKUP(ISIC_Rev_5_english_structure__1[[#This Row],[Column4]],INDUSTRYGROUP!$C$2:$C$23,INDUSTRYGROUP!$D$2:$D$23,"NONE")</f>
        <v>NONE</v>
      </c>
      <c r="E373" t="str">
        <f>_xlfn.XLOOKUP(LEFT(A373,2),SECTOR!$A$2:$A$88,SECTOR!$A$2:$A$88,"")</f>
        <v/>
      </c>
      <c r="F373" t="str">
        <f>_xlfn.XLOOKUP(LEFT(A373,2),SECTOR!$A$2:$A$88,SECTOR!$B$2:$B$88,"")</f>
        <v/>
      </c>
      <c r="G373" t="str">
        <f>_xlfn.XLOOKUP(LEFT(A373,3),INDUSTRY!$A$2:$A$259,INDUSTRY!$A$2:$A$259,"")</f>
        <v>432</v>
      </c>
      <c r="H373" t="str">
        <f>_xlfn.XLOOKUP(LEFT(A373,3),INDUSTRY!$A$2:$A$259,INDUSTRY!$B$2:$B$259,"")</f>
        <v>Electrical, plumbing and other construction installation activities</v>
      </c>
      <c r="I373" t="str">
        <f t="shared" si="10"/>
        <v/>
      </c>
      <c r="J373" t="str">
        <f t="shared" si="11"/>
        <v/>
      </c>
    </row>
    <row r="374" spans="1:10" x14ac:dyDescent="0.25">
      <c r="A374" t="s">
        <v>1515</v>
      </c>
      <c r="B374" t="s">
        <v>1516</v>
      </c>
      <c r="C374" t="s">
        <v>1488</v>
      </c>
      <c r="D374" t="str">
        <f>_xlfn.XLOOKUP(ISIC_Rev_5_english_structure__1[[#This Row],[Column4]],INDUSTRYGROUP!$C$2:$C$23,INDUSTRYGROUP!$D$2:$D$23,"NONE")</f>
        <v>NONE</v>
      </c>
      <c r="E374" t="str">
        <f>_xlfn.XLOOKUP(LEFT(A374,2),SECTOR!$A$2:$A$88,SECTOR!$A$2:$A$88,"")</f>
        <v/>
      </c>
      <c r="F374" t="str">
        <f>_xlfn.XLOOKUP(LEFT(A374,2),SECTOR!$A$2:$A$88,SECTOR!$B$2:$B$88,"")</f>
        <v/>
      </c>
      <c r="G374" t="str">
        <f>_xlfn.XLOOKUP(LEFT(A374,3),INDUSTRY!$A$2:$A$259,INDUSTRY!$A$2:$A$259,"")</f>
        <v>432</v>
      </c>
      <c r="H374" t="str">
        <f>_xlfn.XLOOKUP(LEFT(A374,3),INDUSTRY!$A$2:$A$259,INDUSTRY!$B$2:$B$259,"")</f>
        <v>Electrical, plumbing and other construction installation activities</v>
      </c>
      <c r="I374" t="str">
        <f t="shared" si="10"/>
        <v>4321</v>
      </c>
      <c r="J374" t="str">
        <f t="shared" si="11"/>
        <v>Electrical installation</v>
      </c>
    </row>
    <row r="375" spans="1:10" x14ac:dyDescent="0.25">
      <c r="A375" t="s">
        <v>1517</v>
      </c>
      <c r="B375" t="s">
        <v>1518</v>
      </c>
      <c r="C375" t="s">
        <v>1488</v>
      </c>
      <c r="D375" t="str">
        <f>_xlfn.XLOOKUP(ISIC_Rev_5_english_structure__1[[#This Row],[Column4]],INDUSTRYGROUP!$C$2:$C$23,INDUSTRYGROUP!$D$2:$D$23,"NONE")</f>
        <v>NONE</v>
      </c>
      <c r="E375" t="str">
        <f>_xlfn.XLOOKUP(LEFT(A375,2),SECTOR!$A$2:$A$88,SECTOR!$A$2:$A$88,"")</f>
        <v/>
      </c>
      <c r="F375" t="str">
        <f>_xlfn.XLOOKUP(LEFT(A375,2),SECTOR!$A$2:$A$88,SECTOR!$B$2:$B$88,"")</f>
        <v/>
      </c>
      <c r="G375" t="str">
        <f>_xlfn.XLOOKUP(LEFT(A375,3),INDUSTRY!$A$2:$A$259,INDUSTRY!$A$2:$A$259,"")</f>
        <v>432</v>
      </c>
      <c r="H375" t="str">
        <f>_xlfn.XLOOKUP(LEFT(A375,3),INDUSTRY!$A$2:$A$259,INDUSTRY!$B$2:$B$259,"")</f>
        <v>Electrical, plumbing and other construction installation activities</v>
      </c>
      <c r="I375" t="str">
        <f t="shared" si="10"/>
        <v>4322</v>
      </c>
      <c r="J375" t="str">
        <f t="shared" si="11"/>
        <v>Plumbing, heat and air-conditioning installation</v>
      </c>
    </row>
    <row r="376" spans="1:10" x14ac:dyDescent="0.25">
      <c r="A376" t="s">
        <v>1519</v>
      </c>
      <c r="B376" t="s">
        <v>1520</v>
      </c>
      <c r="C376" t="s">
        <v>1488</v>
      </c>
      <c r="D376" t="str">
        <f>_xlfn.XLOOKUP(ISIC_Rev_5_english_structure__1[[#This Row],[Column4]],INDUSTRYGROUP!$C$2:$C$23,INDUSTRYGROUP!$D$2:$D$23,"NONE")</f>
        <v>NONE</v>
      </c>
      <c r="E376" t="str">
        <f>_xlfn.XLOOKUP(LEFT(A376,2),SECTOR!$A$2:$A$88,SECTOR!$A$2:$A$88,"")</f>
        <v/>
      </c>
      <c r="F376" t="str">
        <f>_xlfn.XLOOKUP(LEFT(A376,2),SECTOR!$A$2:$A$88,SECTOR!$B$2:$B$88,"")</f>
        <v/>
      </c>
      <c r="G376" t="str">
        <f>_xlfn.XLOOKUP(LEFT(A376,3),INDUSTRY!$A$2:$A$259,INDUSTRY!$A$2:$A$259,"")</f>
        <v>432</v>
      </c>
      <c r="H376" t="str">
        <f>_xlfn.XLOOKUP(LEFT(A376,3),INDUSTRY!$A$2:$A$259,INDUSTRY!$B$2:$B$259,"")</f>
        <v>Electrical, plumbing and other construction installation activities</v>
      </c>
      <c r="I376" t="str">
        <f t="shared" si="10"/>
        <v>4329</v>
      </c>
      <c r="J376" t="str">
        <f t="shared" si="11"/>
        <v>Other construction installation</v>
      </c>
    </row>
    <row r="377" spans="1:10" x14ac:dyDescent="0.25">
      <c r="A377" t="s">
        <v>1521</v>
      </c>
      <c r="B377" t="s">
        <v>1522</v>
      </c>
      <c r="C377" t="s">
        <v>1488</v>
      </c>
      <c r="D377" t="str">
        <f>_xlfn.XLOOKUP(ISIC_Rev_5_english_structure__1[[#This Row],[Column4]],INDUSTRYGROUP!$C$2:$C$23,INDUSTRYGROUP!$D$2:$D$23,"NONE")</f>
        <v>NONE</v>
      </c>
      <c r="E377" t="str">
        <f>_xlfn.XLOOKUP(LEFT(A377,2),SECTOR!$A$2:$A$88,SECTOR!$A$2:$A$88,"")</f>
        <v/>
      </c>
      <c r="F377" t="str">
        <f>_xlfn.XLOOKUP(LEFT(A377,2),SECTOR!$A$2:$A$88,SECTOR!$B$2:$B$88,"")</f>
        <v/>
      </c>
      <c r="G377" t="str">
        <f>_xlfn.XLOOKUP(LEFT(A377,3),INDUSTRY!$A$2:$A$259,INDUSTRY!$A$2:$A$259,"")</f>
        <v>433</v>
      </c>
      <c r="H377" t="str">
        <f>_xlfn.XLOOKUP(LEFT(A377,3),INDUSTRY!$A$2:$A$259,INDUSTRY!$B$2:$B$259,"")</f>
        <v>Building completion and finishing</v>
      </c>
      <c r="I377" t="str">
        <f t="shared" si="10"/>
        <v/>
      </c>
      <c r="J377" t="str">
        <f t="shared" si="11"/>
        <v/>
      </c>
    </row>
    <row r="378" spans="1:10" x14ac:dyDescent="0.25">
      <c r="A378" t="s">
        <v>1523</v>
      </c>
      <c r="B378" t="s">
        <v>1522</v>
      </c>
      <c r="C378" t="s">
        <v>1488</v>
      </c>
      <c r="D378" t="str">
        <f>_xlfn.XLOOKUP(ISIC_Rev_5_english_structure__1[[#This Row],[Column4]],INDUSTRYGROUP!$C$2:$C$23,INDUSTRYGROUP!$D$2:$D$23,"NONE")</f>
        <v>NONE</v>
      </c>
      <c r="E378" t="str">
        <f>_xlfn.XLOOKUP(LEFT(A378,2),SECTOR!$A$2:$A$88,SECTOR!$A$2:$A$88,"")</f>
        <v/>
      </c>
      <c r="F378" t="str">
        <f>_xlfn.XLOOKUP(LEFT(A378,2),SECTOR!$A$2:$A$88,SECTOR!$B$2:$B$88,"")</f>
        <v/>
      </c>
      <c r="G378" t="str">
        <f>_xlfn.XLOOKUP(LEFT(A378,3),INDUSTRY!$A$2:$A$259,INDUSTRY!$A$2:$A$259,"")</f>
        <v>433</v>
      </c>
      <c r="H378" t="str">
        <f>_xlfn.XLOOKUP(LEFT(A378,3),INDUSTRY!$A$2:$A$259,INDUSTRY!$B$2:$B$259,"")</f>
        <v>Building completion and finishing</v>
      </c>
      <c r="I378" t="str">
        <f t="shared" si="10"/>
        <v>4330</v>
      </c>
      <c r="J378" t="str">
        <f t="shared" si="11"/>
        <v>Building completion and finishing</v>
      </c>
    </row>
    <row r="379" spans="1:10" x14ac:dyDescent="0.25">
      <c r="A379" t="s">
        <v>1524</v>
      </c>
      <c r="B379" t="s">
        <v>1525</v>
      </c>
      <c r="C379" t="s">
        <v>1488</v>
      </c>
      <c r="D379" t="str">
        <f>_xlfn.XLOOKUP(ISIC_Rev_5_english_structure__1[[#This Row],[Column4]],INDUSTRYGROUP!$C$2:$C$23,INDUSTRYGROUP!$D$2:$D$23,"NONE")</f>
        <v>NONE</v>
      </c>
      <c r="E379" t="str">
        <f>_xlfn.XLOOKUP(LEFT(A379,2),SECTOR!$A$2:$A$88,SECTOR!$A$2:$A$88,"")</f>
        <v/>
      </c>
      <c r="F379" t="str">
        <f>_xlfn.XLOOKUP(LEFT(A379,2),SECTOR!$A$2:$A$88,SECTOR!$B$2:$B$88,"")</f>
        <v/>
      </c>
      <c r="G379" t="str">
        <f>_xlfn.XLOOKUP(LEFT(A379,3),INDUSTRY!$A$2:$A$259,INDUSTRY!$A$2:$A$259,"")</f>
        <v>434</v>
      </c>
      <c r="H379" t="str">
        <f>_xlfn.XLOOKUP(LEFT(A379,3),INDUSTRY!$A$2:$A$259,INDUSTRY!$B$2:$B$259,"")</f>
        <v>Intermediation service activities for specialized construction services</v>
      </c>
      <c r="I379" t="str">
        <f t="shared" si="10"/>
        <v/>
      </c>
      <c r="J379" t="str">
        <f t="shared" si="11"/>
        <v/>
      </c>
    </row>
    <row r="380" spans="1:10" x14ac:dyDescent="0.25">
      <c r="A380" t="s">
        <v>1526</v>
      </c>
      <c r="B380" t="s">
        <v>1525</v>
      </c>
      <c r="C380" t="s">
        <v>1488</v>
      </c>
      <c r="D380" t="str">
        <f>_xlfn.XLOOKUP(ISIC_Rev_5_english_structure__1[[#This Row],[Column4]],INDUSTRYGROUP!$C$2:$C$23,INDUSTRYGROUP!$D$2:$D$23,"NONE")</f>
        <v>NONE</v>
      </c>
      <c r="E380" t="str">
        <f>_xlfn.XLOOKUP(LEFT(A380,2),SECTOR!$A$2:$A$88,SECTOR!$A$2:$A$88,"")</f>
        <v/>
      </c>
      <c r="F380" t="str">
        <f>_xlfn.XLOOKUP(LEFT(A380,2),SECTOR!$A$2:$A$88,SECTOR!$B$2:$B$88,"")</f>
        <v/>
      </c>
      <c r="G380" t="str">
        <f>_xlfn.XLOOKUP(LEFT(A380,3),INDUSTRY!$A$2:$A$259,INDUSTRY!$A$2:$A$259,"")</f>
        <v>434</v>
      </c>
      <c r="H380" t="str">
        <f>_xlfn.XLOOKUP(LEFT(A380,3),INDUSTRY!$A$2:$A$259,INDUSTRY!$B$2:$B$259,"")</f>
        <v>Intermediation service activities for specialized construction services</v>
      </c>
      <c r="I380" t="str">
        <f t="shared" si="10"/>
        <v>4340</v>
      </c>
      <c r="J380" t="str">
        <f t="shared" si="11"/>
        <v>Intermediation service activities for specialized construction services</v>
      </c>
    </row>
    <row r="381" spans="1:10" x14ac:dyDescent="0.25">
      <c r="A381" t="s">
        <v>1527</v>
      </c>
      <c r="B381" t="s">
        <v>1528</v>
      </c>
      <c r="C381" t="s">
        <v>1488</v>
      </c>
      <c r="D381" t="str">
        <f>_xlfn.XLOOKUP(ISIC_Rev_5_english_structure__1[[#This Row],[Column4]],INDUSTRYGROUP!$C$2:$C$23,INDUSTRYGROUP!$D$2:$D$23,"NONE")</f>
        <v>NONE</v>
      </c>
      <c r="E381" t="str">
        <f>_xlfn.XLOOKUP(LEFT(A381,2),SECTOR!$A$2:$A$88,SECTOR!$A$2:$A$88,"")</f>
        <v/>
      </c>
      <c r="F381" t="str">
        <f>_xlfn.XLOOKUP(LEFT(A381,2),SECTOR!$A$2:$A$88,SECTOR!$B$2:$B$88,"")</f>
        <v/>
      </c>
      <c r="G381" t="str">
        <f>_xlfn.XLOOKUP(LEFT(A381,3),INDUSTRY!$A$2:$A$259,INDUSTRY!$A$2:$A$259,"")</f>
        <v>439</v>
      </c>
      <c r="H381" t="str">
        <f>_xlfn.XLOOKUP(LEFT(A381,3),INDUSTRY!$A$2:$A$259,INDUSTRY!$B$2:$B$259,"")</f>
        <v>Other specialized construction activities</v>
      </c>
      <c r="I381" t="str">
        <f t="shared" si="10"/>
        <v/>
      </c>
      <c r="J381" t="str">
        <f t="shared" si="11"/>
        <v/>
      </c>
    </row>
    <row r="382" spans="1:10" x14ac:dyDescent="0.25">
      <c r="A382" t="s">
        <v>1529</v>
      </c>
      <c r="B382" t="s">
        <v>1528</v>
      </c>
      <c r="C382" t="s">
        <v>1488</v>
      </c>
      <c r="D382" t="str">
        <f>_xlfn.XLOOKUP(ISIC_Rev_5_english_structure__1[[#This Row],[Column4]],INDUSTRYGROUP!$C$2:$C$23,INDUSTRYGROUP!$D$2:$D$23,"NONE")</f>
        <v>NONE</v>
      </c>
      <c r="E382" t="str">
        <f>_xlfn.XLOOKUP(LEFT(A382,2),SECTOR!$A$2:$A$88,SECTOR!$A$2:$A$88,"")</f>
        <v/>
      </c>
      <c r="F382" t="str">
        <f>_xlfn.XLOOKUP(LEFT(A382,2),SECTOR!$A$2:$A$88,SECTOR!$B$2:$B$88,"")</f>
        <v/>
      </c>
      <c r="G382" t="str">
        <f>_xlfn.XLOOKUP(LEFT(A382,3),INDUSTRY!$A$2:$A$259,INDUSTRY!$A$2:$A$259,"")</f>
        <v>439</v>
      </c>
      <c r="H382" t="str">
        <f>_xlfn.XLOOKUP(LEFT(A382,3),INDUSTRY!$A$2:$A$259,INDUSTRY!$B$2:$B$259,"")</f>
        <v>Other specialized construction activities</v>
      </c>
      <c r="I382" t="str">
        <f t="shared" si="10"/>
        <v>4390</v>
      </c>
      <c r="J382" t="str">
        <f t="shared" si="11"/>
        <v>Other specialized construction activities</v>
      </c>
    </row>
    <row r="383" spans="1:10" x14ac:dyDescent="0.25">
      <c r="A383" t="s">
        <v>1530</v>
      </c>
      <c r="B383" t="s">
        <v>1531</v>
      </c>
      <c r="C383" t="s">
        <v>1530</v>
      </c>
      <c r="D383" t="str">
        <f>_xlfn.XLOOKUP(ISIC_Rev_5_english_structure__1[[#This Row],[Column4]],INDUSTRYGROUP!$C$2:$C$23,INDUSTRYGROUP!$D$2:$D$23,"NONE")</f>
        <v>NONE</v>
      </c>
      <c r="E383" t="str">
        <f>_xlfn.XLOOKUP(LEFT(A383,2),SECTOR!$A$2:$A$88,SECTOR!$A$2:$A$88,"")</f>
        <v>G</v>
      </c>
      <c r="F383" t="str">
        <f>_xlfn.XLOOKUP(LEFT(A383,2),SECTOR!$A$2:$A$88,SECTOR!$B$2:$B$88,"")</f>
        <v>Wholesale and retail trade</v>
      </c>
      <c r="G383" t="str">
        <f>_xlfn.XLOOKUP(LEFT(A383,3),INDUSTRY!$A$2:$A$259,INDUSTRY!$A$2:$A$259,"")</f>
        <v/>
      </c>
      <c r="H383" t="str">
        <f>_xlfn.XLOOKUP(LEFT(A383,3),INDUSTRY!$A$2:$A$259,INDUSTRY!$B$2:$B$259,"")</f>
        <v/>
      </c>
      <c r="I383" t="str">
        <f t="shared" si="10"/>
        <v/>
      </c>
      <c r="J383" t="str">
        <f t="shared" si="11"/>
        <v/>
      </c>
    </row>
    <row r="384" spans="1:10" x14ac:dyDescent="0.25">
      <c r="A384" t="s">
        <v>1532</v>
      </c>
      <c r="B384" t="s">
        <v>1533</v>
      </c>
      <c r="C384" t="s">
        <v>1530</v>
      </c>
      <c r="D384" t="str">
        <f>_xlfn.XLOOKUP(ISIC_Rev_5_english_structure__1[[#This Row],[Column4]],INDUSTRYGROUP!$C$2:$C$23,INDUSTRYGROUP!$D$2:$D$23,"NONE")</f>
        <v>NONE</v>
      </c>
      <c r="E384" t="str">
        <f>_xlfn.XLOOKUP(LEFT(A384,2),SECTOR!$A$2:$A$88,SECTOR!$A$2:$A$88,"")</f>
        <v/>
      </c>
      <c r="F384" t="str">
        <f>_xlfn.XLOOKUP(LEFT(A384,2),SECTOR!$A$2:$A$88,SECTOR!$B$2:$B$88,"")</f>
        <v/>
      </c>
      <c r="G384" t="str">
        <f>_xlfn.XLOOKUP(LEFT(A384,3),INDUSTRY!$A$2:$A$259,INDUSTRY!$A$2:$A$259,"")</f>
        <v/>
      </c>
      <c r="H384" t="str">
        <f>_xlfn.XLOOKUP(LEFT(A384,3),INDUSTRY!$A$2:$A$259,INDUSTRY!$B$2:$B$259,"")</f>
        <v/>
      </c>
      <c r="I384" t="str">
        <f t="shared" si="10"/>
        <v/>
      </c>
      <c r="J384" t="str">
        <f t="shared" si="11"/>
        <v/>
      </c>
    </row>
    <row r="385" spans="1:10" x14ac:dyDescent="0.25">
      <c r="A385" t="s">
        <v>1534</v>
      </c>
      <c r="B385" t="s">
        <v>1535</v>
      </c>
      <c r="C385" t="s">
        <v>1530</v>
      </c>
      <c r="D385" t="str">
        <f>_xlfn.XLOOKUP(ISIC_Rev_5_english_structure__1[[#This Row],[Column4]],INDUSTRYGROUP!$C$2:$C$23,INDUSTRYGROUP!$D$2:$D$23,"NONE")</f>
        <v>NONE</v>
      </c>
      <c r="E385" t="str">
        <f>_xlfn.XLOOKUP(LEFT(A385,2),SECTOR!$A$2:$A$88,SECTOR!$A$2:$A$88,"")</f>
        <v/>
      </c>
      <c r="F385" t="str">
        <f>_xlfn.XLOOKUP(LEFT(A385,2),SECTOR!$A$2:$A$88,SECTOR!$B$2:$B$88,"")</f>
        <v/>
      </c>
      <c r="G385" t="str">
        <f>_xlfn.XLOOKUP(LEFT(A385,3),INDUSTRY!$A$2:$A$259,INDUSTRY!$A$2:$A$259,"")</f>
        <v>461</v>
      </c>
      <c r="H385" t="str">
        <f>_xlfn.XLOOKUP(LEFT(A385,3),INDUSTRY!$A$2:$A$259,INDUSTRY!$B$2:$B$259,"")</f>
        <v>Wholesale on a fee or contract basis</v>
      </c>
      <c r="I385" t="str">
        <f t="shared" si="10"/>
        <v/>
      </c>
      <c r="J385" t="str">
        <f t="shared" si="11"/>
        <v/>
      </c>
    </row>
    <row r="386" spans="1:10" x14ac:dyDescent="0.25">
      <c r="A386" t="s">
        <v>1536</v>
      </c>
      <c r="B386" t="s">
        <v>1535</v>
      </c>
      <c r="C386" t="s">
        <v>1530</v>
      </c>
      <c r="D386" t="str">
        <f>_xlfn.XLOOKUP(ISIC_Rev_5_english_structure__1[[#This Row],[Column4]],INDUSTRYGROUP!$C$2:$C$23,INDUSTRYGROUP!$D$2:$D$23,"NONE")</f>
        <v>NONE</v>
      </c>
      <c r="E386" t="str">
        <f>_xlfn.XLOOKUP(LEFT(A386,2),SECTOR!$A$2:$A$88,SECTOR!$A$2:$A$88,"")</f>
        <v/>
      </c>
      <c r="F386" t="str">
        <f>_xlfn.XLOOKUP(LEFT(A386,2),SECTOR!$A$2:$A$88,SECTOR!$B$2:$B$88,"")</f>
        <v/>
      </c>
      <c r="G386" t="str">
        <f>_xlfn.XLOOKUP(LEFT(A386,3),INDUSTRY!$A$2:$A$259,INDUSTRY!$A$2:$A$259,"")</f>
        <v>461</v>
      </c>
      <c r="H386" t="str">
        <f>_xlfn.XLOOKUP(LEFT(A386,3),INDUSTRY!$A$2:$A$259,INDUSTRY!$B$2:$B$259,"")</f>
        <v>Wholesale on a fee or contract basis</v>
      </c>
      <c r="I386" t="str">
        <f t="shared" ref="I386:I449" si="12">IF(LEN(A386)=4,A386,"")</f>
        <v>4610</v>
      </c>
      <c r="J386" t="str">
        <f t="shared" ref="J386:J449" si="13">IF(LEN(A386)=4,B386,"")</f>
        <v>Wholesale on a fee or contract basis</v>
      </c>
    </row>
    <row r="387" spans="1:10" x14ac:dyDescent="0.25">
      <c r="A387" t="s">
        <v>1537</v>
      </c>
      <c r="B387" t="s">
        <v>1538</v>
      </c>
      <c r="C387" t="s">
        <v>1530</v>
      </c>
      <c r="D387" t="str">
        <f>_xlfn.XLOOKUP(ISIC_Rev_5_english_structure__1[[#This Row],[Column4]],INDUSTRYGROUP!$C$2:$C$23,INDUSTRYGROUP!$D$2:$D$23,"NONE")</f>
        <v>NONE</v>
      </c>
      <c r="E387" t="str">
        <f>_xlfn.XLOOKUP(LEFT(A387,2),SECTOR!$A$2:$A$88,SECTOR!$A$2:$A$88,"")</f>
        <v/>
      </c>
      <c r="F387" t="str">
        <f>_xlfn.XLOOKUP(LEFT(A387,2),SECTOR!$A$2:$A$88,SECTOR!$B$2:$B$88,"")</f>
        <v/>
      </c>
      <c r="G387" t="str">
        <f>_xlfn.XLOOKUP(LEFT(A387,3),INDUSTRY!$A$2:$A$259,INDUSTRY!$A$2:$A$259,"")</f>
        <v>462</v>
      </c>
      <c r="H387" t="str">
        <f>_xlfn.XLOOKUP(LEFT(A387,3),INDUSTRY!$A$2:$A$259,INDUSTRY!$B$2:$B$259,"")</f>
        <v>Wholesale of agricultural raw materials and live animals</v>
      </c>
      <c r="I387" t="str">
        <f t="shared" si="12"/>
        <v/>
      </c>
      <c r="J387" t="str">
        <f t="shared" si="13"/>
        <v/>
      </c>
    </row>
    <row r="388" spans="1:10" x14ac:dyDescent="0.25">
      <c r="A388" t="s">
        <v>1539</v>
      </c>
      <c r="B388" t="s">
        <v>1538</v>
      </c>
      <c r="C388" t="s">
        <v>1530</v>
      </c>
      <c r="D388" t="str">
        <f>_xlfn.XLOOKUP(ISIC_Rev_5_english_structure__1[[#This Row],[Column4]],INDUSTRYGROUP!$C$2:$C$23,INDUSTRYGROUP!$D$2:$D$23,"NONE")</f>
        <v>NONE</v>
      </c>
      <c r="E388" t="str">
        <f>_xlfn.XLOOKUP(LEFT(A388,2),SECTOR!$A$2:$A$88,SECTOR!$A$2:$A$88,"")</f>
        <v/>
      </c>
      <c r="F388" t="str">
        <f>_xlfn.XLOOKUP(LEFT(A388,2),SECTOR!$A$2:$A$88,SECTOR!$B$2:$B$88,"")</f>
        <v/>
      </c>
      <c r="G388" t="str">
        <f>_xlfn.XLOOKUP(LEFT(A388,3),INDUSTRY!$A$2:$A$259,INDUSTRY!$A$2:$A$259,"")</f>
        <v>462</v>
      </c>
      <c r="H388" t="str">
        <f>_xlfn.XLOOKUP(LEFT(A388,3),INDUSTRY!$A$2:$A$259,INDUSTRY!$B$2:$B$259,"")</f>
        <v>Wholesale of agricultural raw materials and live animals</v>
      </c>
      <c r="I388" t="str">
        <f t="shared" si="12"/>
        <v>4620</v>
      </c>
      <c r="J388" t="str">
        <f t="shared" si="13"/>
        <v>Wholesale of agricultural raw materials and live animals</v>
      </c>
    </row>
    <row r="389" spans="1:10" x14ac:dyDescent="0.25">
      <c r="A389" t="s">
        <v>1540</v>
      </c>
      <c r="B389" t="s">
        <v>1541</v>
      </c>
      <c r="C389" t="s">
        <v>1530</v>
      </c>
      <c r="D389" t="str">
        <f>_xlfn.XLOOKUP(ISIC_Rev_5_english_structure__1[[#This Row],[Column4]],INDUSTRYGROUP!$C$2:$C$23,INDUSTRYGROUP!$D$2:$D$23,"NONE")</f>
        <v>NONE</v>
      </c>
      <c r="E389" t="str">
        <f>_xlfn.XLOOKUP(LEFT(A389,2),SECTOR!$A$2:$A$88,SECTOR!$A$2:$A$88,"")</f>
        <v/>
      </c>
      <c r="F389" t="str">
        <f>_xlfn.XLOOKUP(LEFT(A389,2),SECTOR!$A$2:$A$88,SECTOR!$B$2:$B$88,"")</f>
        <v/>
      </c>
      <c r="G389" t="str">
        <f>_xlfn.XLOOKUP(LEFT(A389,3),INDUSTRY!$A$2:$A$259,INDUSTRY!$A$2:$A$259,"")</f>
        <v>463</v>
      </c>
      <c r="H389" t="str">
        <f>_xlfn.XLOOKUP(LEFT(A389,3),INDUSTRY!$A$2:$A$259,INDUSTRY!$B$2:$B$259,"")</f>
        <v>Wholesale of food, beverages and tobacco</v>
      </c>
      <c r="I389" t="str">
        <f t="shared" si="12"/>
        <v/>
      </c>
      <c r="J389" t="str">
        <f t="shared" si="13"/>
        <v/>
      </c>
    </row>
    <row r="390" spans="1:10" x14ac:dyDescent="0.25">
      <c r="A390" t="s">
        <v>1542</v>
      </c>
      <c r="B390" t="s">
        <v>1541</v>
      </c>
      <c r="C390" t="s">
        <v>1530</v>
      </c>
      <c r="D390" t="str">
        <f>_xlfn.XLOOKUP(ISIC_Rev_5_english_structure__1[[#This Row],[Column4]],INDUSTRYGROUP!$C$2:$C$23,INDUSTRYGROUP!$D$2:$D$23,"NONE")</f>
        <v>NONE</v>
      </c>
      <c r="E390" t="str">
        <f>_xlfn.XLOOKUP(LEFT(A390,2),SECTOR!$A$2:$A$88,SECTOR!$A$2:$A$88,"")</f>
        <v/>
      </c>
      <c r="F390" t="str">
        <f>_xlfn.XLOOKUP(LEFT(A390,2),SECTOR!$A$2:$A$88,SECTOR!$B$2:$B$88,"")</f>
        <v/>
      </c>
      <c r="G390" t="str">
        <f>_xlfn.XLOOKUP(LEFT(A390,3),INDUSTRY!$A$2:$A$259,INDUSTRY!$A$2:$A$259,"")</f>
        <v>463</v>
      </c>
      <c r="H390" t="str">
        <f>_xlfn.XLOOKUP(LEFT(A390,3),INDUSTRY!$A$2:$A$259,INDUSTRY!$B$2:$B$259,"")</f>
        <v>Wholesale of food, beverages and tobacco</v>
      </c>
      <c r="I390" t="str">
        <f t="shared" si="12"/>
        <v>4630</v>
      </c>
      <c r="J390" t="str">
        <f t="shared" si="13"/>
        <v>Wholesale of food, beverages and tobacco</v>
      </c>
    </row>
    <row r="391" spans="1:10" x14ac:dyDescent="0.25">
      <c r="A391" t="s">
        <v>1543</v>
      </c>
      <c r="B391" t="s">
        <v>1544</v>
      </c>
      <c r="C391" t="s">
        <v>1530</v>
      </c>
      <c r="D391" t="str">
        <f>_xlfn.XLOOKUP(ISIC_Rev_5_english_structure__1[[#This Row],[Column4]],INDUSTRYGROUP!$C$2:$C$23,INDUSTRYGROUP!$D$2:$D$23,"NONE")</f>
        <v>NONE</v>
      </c>
      <c r="E391" t="str">
        <f>_xlfn.XLOOKUP(LEFT(A391,2),SECTOR!$A$2:$A$88,SECTOR!$A$2:$A$88,"")</f>
        <v/>
      </c>
      <c r="F391" t="str">
        <f>_xlfn.XLOOKUP(LEFT(A391,2),SECTOR!$A$2:$A$88,SECTOR!$B$2:$B$88,"")</f>
        <v/>
      </c>
      <c r="G391" t="str">
        <f>_xlfn.XLOOKUP(LEFT(A391,3),INDUSTRY!$A$2:$A$259,INDUSTRY!$A$2:$A$259,"")</f>
        <v>464</v>
      </c>
      <c r="H391" t="str">
        <f>_xlfn.XLOOKUP(LEFT(A391,3),INDUSTRY!$A$2:$A$259,INDUSTRY!$B$2:$B$259,"")</f>
        <v>Wholesale of household goods</v>
      </c>
      <c r="I391" t="str">
        <f t="shared" si="12"/>
        <v/>
      </c>
      <c r="J391" t="str">
        <f t="shared" si="13"/>
        <v/>
      </c>
    </row>
    <row r="392" spans="1:10" x14ac:dyDescent="0.25">
      <c r="A392" t="s">
        <v>1545</v>
      </c>
      <c r="B392" t="s">
        <v>1546</v>
      </c>
      <c r="C392" t="s">
        <v>1530</v>
      </c>
      <c r="D392" t="str">
        <f>_xlfn.XLOOKUP(ISIC_Rev_5_english_structure__1[[#This Row],[Column4]],INDUSTRYGROUP!$C$2:$C$23,INDUSTRYGROUP!$D$2:$D$23,"NONE")</f>
        <v>NONE</v>
      </c>
      <c r="E392" t="str">
        <f>_xlfn.XLOOKUP(LEFT(A392,2),SECTOR!$A$2:$A$88,SECTOR!$A$2:$A$88,"")</f>
        <v/>
      </c>
      <c r="F392" t="str">
        <f>_xlfn.XLOOKUP(LEFT(A392,2),SECTOR!$A$2:$A$88,SECTOR!$B$2:$B$88,"")</f>
        <v/>
      </c>
      <c r="G392" t="str">
        <f>_xlfn.XLOOKUP(LEFT(A392,3),INDUSTRY!$A$2:$A$259,INDUSTRY!$A$2:$A$259,"")</f>
        <v>464</v>
      </c>
      <c r="H392" t="str">
        <f>_xlfn.XLOOKUP(LEFT(A392,3),INDUSTRY!$A$2:$A$259,INDUSTRY!$B$2:$B$259,"")</f>
        <v>Wholesale of household goods</v>
      </c>
      <c r="I392" t="str">
        <f t="shared" si="12"/>
        <v>4641</v>
      </c>
      <c r="J392" t="str">
        <f t="shared" si="13"/>
        <v>Wholesale of textiles, clothing and footwear</v>
      </c>
    </row>
    <row r="393" spans="1:10" x14ac:dyDescent="0.25">
      <c r="A393" t="s">
        <v>1547</v>
      </c>
      <c r="B393" t="s">
        <v>1548</v>
      </c>
      <c r="C393" t="s">
        <v>1530</v>
      </c>
      <c r="D393" t="str">
        <f>_xlfn.XLOOKUP(ISIC_Rev_5_english_structure__1[[#This Row],[Column4]],INDUSTRYGROUP!$C$2:$C$23,INDUSTRYGROUP!$D$2:$D$23,"NONE")</f>
        <v>NONE</v>
      </c>
      <c r="E393" t="str">
        <f>_xlfn.XLOOKUP(LEFT(A393,2),SECTOR!$A$2:$A$88,SECTOR!$A$2:$A$88,"")</f>
        <v/>
      </c>
      <c r="F393" t="str">
        <f>_xlfn.XLOOKUP(LEFT(A393,2),SECTOR!$A$2:$A$88,SECTOR!$B$2:$B$88,"")</f>
        <v/>
      </c>
      <c r="G393" t="str">
        <f>_xlfn.XLOOKUP(LEFT(A393,3),INDUSTRY!$A$2:$A$259,INDUSTRY!$A$2:$A$259,"")</f>
        <v>464</v>
      </c>
      <c r="H393" t="str">
        <f>_xlfn.XLOOKUP(LEFT(A393,3),INDUSTRY!$A$2:$A$259,INDUSTRY!$B$2:$B$259,"")</f>
        <v>Wholesale of household goods</v>
      </c>
      <c r="I393" t="str">
        <f t="shared" si="12"/>
        <v>4642</v>
      </c>
      <c r="J393" t="str">
        <f t="shared" si="13"/>
        <v>Wholesale of household, office and shop furniture, carpets and lighting equipment</v>
      </c>
    </row>
    <row r="394" spans="1:10" x14ac:dyDescent="0.25">
      <c r="A394" t="s">
        <v>1549</v>
      </c>
      <c r="B394" t="s">
        <v>1550</v>
      </c>
      <c r="C394" t="s">
        <v>1530</v>
      </c>
      <c r="D394" t="str">
        <f>_xlfn.XLOOKUP(ISIC_Rev_5_english_structure__1[[#This Row],[Column4]],INDUSTRYGROUP!$C$2:$C$23,INDUSTRYGROUP!$D$2:$D$23,"NONE")</f>
        <v>NONE</v>
      </c>
      <c r="E394" t="str">
        <f>_xlfn.XLOOKUP(LEFT(A394,2),SECTOR!$A$2:$A$88,SECTOR!$A$2:$A$88,"")</f>
        <v/>
      </c>
      <c r="F394" t="str">
        <f>_xlfn.XLOOKUP(LEFT(A394,2),SECTOR!$A$2:$A$88,SECTOR!$B$2:$B$88,"")</f>
        <v/>
      </c>
      <c r="G394" t="str">
        <f>_xlfn.XLOOKUP(LEFT(A394,3),INDUSTRY!$A$2:$A$259,INDUSTRY!$A$2:$A$259,"")</f>
        <v>464</v>
      </c>
      <c r="H394" t="str">
        <f>_xlfn.XLOOKUP(LEFT(A394,3),INDUSTRY!$A$2:$A$259,INDUSTRY!$B$2:$B$259,"")</f>
        <v>Wholesale of household goods</v>
      </c>
      <c r="I394" t="str">
        <f t="shared" si="12"/>
        <v>4649</v>
      </c>
      <c r="J394" t="str">
        <f t="shared" si="13"/>
        <v>Wholesale of other household goods</v>
      </c>
    </row>
    <row r="395" spans="1:10" x14ac:dyDescent="0.25">
      <c r="A395" t="s">
        <v>1551</v>
      </c>
      <c r="B395" t="s">
        <v>1552</v>
      </c>
      <c r="C395" t="s">
        <v>1530</v>
      </c>
      <c r="D395" t="str">
        <f>_xlfn.XLOOKUP(ISIC_Rev_5_english_structure__1[[#This Row],[Column4]],INDUSTRYGROUP!$C$2:$C$23,INDUSTRYGROUP!$D$2:$D$23,"NONE")</f>
        <v>NONE</v>
      </c>
      <c r="E395" t="str">
        <f>_xlfn.XLOOKUP(LEFT(A395,2),SECTOR!$A$2:$A$88,SECTOR!$A$2:$A$88,"")</f>
        <v/>
      </c>
      <c r="F395" t="str">
        <f>_xlfn.XLOOKUP(LEFT(A395,2),SECTOR!$A$2:$A$88,SECTOR!$B$2:$B$88,"")</f>
        <v/>
      </c>
      <c r="G395" t="str">
        <f>_xlfn.XLOOKUP(LEFT(A395,3),INDUSTRY!$A$2:$A$259,INDUSTRY!$A$2:$A$259,"")</f>
        <v>465</v>
      </c>
      <c r="H395" t="str">
        <f>_xlfn.XLOOKUP(LEFT(A395,3),INDUSTRY!$A$2:$A$259,INDUSTRY!$B$2:$B$259,"")</f>
        <v>Wholesale of machinery, equipment and supplies</v>
      </c>
      <c r="I395" t="str">
        <f t="shared" si="12"/>
        <v/>
      </c>
      <c r="J395" t="str">
        <f t="shared" si="13"/>
        <v/>
      </c>
    </row>
    <row r="396" spans="1:10" x14ac:dyDescent="0.25">
      <c r="A396" t="s">
        <v>1553</v>
      </c>
      <c r="B396" t="s">
        <v>1554</v>
      </c>
      <c r="C396" t="s">
        <v>1530</v>
      </c>
      <c r="D396" t="str">
        <f>_xlfn.XLOOKUP(ISIC_Rev_5_english_structure__1[[#This Row],[Column4]],INDUSTRYGROUP!$C$2:$C$23,INDUSTRYGROUP!$D$2:$D$23,"NONE")</f>
        <v>NONE</v>
      </c>
      <c r="E396" t="str">
        <f>_xlfn.XLOOKUP(LEFT(A396,2),SECTOR!$A$2:$A$88,SECTOR!$A$2:$A$88,"")</f>
        <v/>
      </c>
      <c r="F396" t="str">
        <f>_xlfn.XLOOKUP(LEFT(A396,2),SECTOR!$A$2:$A$88,SECTOR!$B$2:$B$88,"")</f>
        <v/>
      </c>
      <c r="G396" t="str">
        <f>_xlfn.XLOOKUP(LEFT(A396,3),INDUSTRY!$A$2:$A$259,INDUSTRY!$A$2:$A$259,"")</f>
        <v>465</v>
      </c>
      <c r="H396" t="str">
        <f>_xlfn.XLOOKUP(LEFT(A396,3),INDUSTRY!$A$2:$A$259,INDUSTRY!$B$2:$B$259,"")</f>
        <v>Wholesale of machinery, equipment and supplies</v>
      </c>
      <c r="I396" t="str">
        <f t="shared" si="12"/>
        <v>4651</v>
      </c>
      <c r="J396" t="str">
        <f t="shared" si="13"/>
        <v>Wholesale of computers, computer peripheral equipment and software</v>
      </c>
    </row>
    <row r="397" spans="1:10" x14ac:dyDescent="0.25">
      <c r="A397" t="s">
        <v>1555</v>
      </c>
      <c r="B397" t="s">
        <v>1556</v>
      </c>
      <c r="C397" t="s">
        <v>1530</v>
      </c>
      <c r="D397" t="str">
        <f>_xlfn.XLOOKUP(ISIC_Rev_5_english_structure__1[[#This Row],[Column4]],INDUSTRYGROUP!$C$2:$C$23,INDUSTRYGROUP!$D$2:$D$23,"NONE")</f>
        <v>NONE</v>
      </c>
      <c r="E397" t="str">
        <f>_xlfn.XLOOKUP(LEFT(A397,2),SECTOR!$A$2:$A$88,SECTOR!$A$2:$A$88,"")</f>
        <v/>
      </c>
      <c r="F397" t="str">
        <f>_xlfn.XLOOKUP(LEFT(A397,2),SECTOR!$A$2:$A$88,SECTOR!$B$2:$B$88,"")</f>
        <v/>
      </c>
      <c r="G397" t="str">
        <f>_xlfn.XLOOKUP(LEFT(A397,3),INDUSTRY!$A$2:$A$259,INDUSTRY!$A$2:$A$259,"")</f>
        <v>465</v>
      </c>
      <c r="H397" t="str">
        <f>_xlfn.XLOOKUP(LEFT(A397,3),INDUSTRY!$A$2:$A$259,INDUSTRY!$B$2:$B$259,"")</f>
        <v>Wholesale of machinery, equipment and supplies</v>
      </c>
      <c r="I397" t="str">
        <f t="shared" si="12"/>
        <v>4652</v>
      </c>
      <c r="J397" t="str">
        <f t="shared" si="13"/>
        <v>Wholesale of electronic and telecommunications equipment and parts</v>
      </c>
    </row>
    <row r="398" spans="1:10" x14ac:dyDescent="0.25">
      <c r="A398" t="s">
        <v>1557</v>
      </c>
      <c r="B398" t="s">
        <v>1558</v>
      </c>
      <c r="C398" t="s">
        <v>1530</v>
      </c>
      <c r="D398" t="str">
        <f>_xlfn.XLOOKUP(ISIC_Rev_5_english_structure__1[[#This Row],[Column4]],INDUSTRYGROUP!$C$2:$C$23,INDUSTRYGROUP!$D$2:$D$23,"NONE")</f>
        <v>NONE</v>
      </c>
      <c r="E398" t="str">
        <f>_xlfn.XLOOKUP(LEFT(A398,2),SECTOR!$A$2:$A$88,SECTOR!$A$2:$A$88,"")</f>
        <v/>
      </c>
      <c r="F398" t="str">
        <f>_xlfn.XLOOKUP(LEFT(A398,2),SECTOR!$A$2:$A$88,SECTOR!$B$2:$B$88,"")</f>
        <v/>
      </c>
      <c r="G398" t="str">
        <f>_xlfn.XLOOKUP(LEFT(A398,3),INDUSTRY!$A$2:$A$259,INDUSTRY!$A$2:$A$259,"")</f>
        <v>465</v>
      </c>
      <c r="H398" t="str">
        <f>_xlfn.XLOOKUP(LEFT(A398,3),INDUSTRY!$A$2:$A$259,INDUSTRY!$B$2:$B$259,"")</f>
        <v>Wholesale of machinery, equipment and supplies</v>
      </c>
      <c r="I398" t="str">
        <f t="shared" si="12"/>
        <v>4653</v>
      </c>
      <c r="J398" t="str">
        <f t="shared" si="13"/>
        <v>Wholesale of agricultural machinery, equipment and supplies</v>
      </c>
    </row>
    <row r="399" spans="1:10" x14ac:dyDescent="0.25">
      <c r="A399" t="s">
        <v>1559</v>
      </c>
      <c r="B399" t="s">
        <v>1560</v>
      </c>
      <c r="C399" t="s">
        <v>1530</v>
      </c>
      <c r="D399" t="str">
        <f>_xlfn.XLOOKUP(ISIC_Rev_5_english_structure__1[[#This Row],[Column4]],INDUSTRYGROUP!$C$2:$C$23,INDUSTRYGROUP!$D$2:$D$23,"NONE")</f>
        <v>NONE</v>
      </c>
      <c r="E399" t="str">
        <f>_xlfn.XLOOKUP(LEFT(A399,2),SECTOR!$A$2:$A$88,SECTOR!$A$2:$A$88,"")</f>
        <v/>
      </c>
      <c r="F399" t="str">
        <f>_xlfn.XLOOKUP(LEFT(A399,2),SECTOR!$A$2:$A$88,SECTOR!$B$2:$B$88,"")</f>
        <v/>
      </c>
      <c r="G399" t="str">
        <f>_xlfn.XLOOKUP(LEFT(A399,3),INDUSTRY!$A$2:$A$259,INDUSTRY!$A$2:$A$259,"")</f>
        <v>465</v>
      </c>
      <c r="H399" t="str">
        <f>_xlfn.XLOOKUP(LEFT(A399,3),INDUSTRY!$A$2:$A$259,INDUSTRY!$B$2:$B$259,"")</f>
        <v>Wholesale of machinery, equipment and supplies</v>
      </c>
      <c r="I399" t="str">
        <f t="shared" si="12"/>
        <v>4659</v>
      </c>
      <c r="J399" t="str">
        <f t="shared" si="13"/>
        <v>Wholesale of other machinery and equipment</v>
      </c>
    </row>
    <row r="400" spans="1:10" x14ac:dyDescent="0.25">
      <c r="A400" t="s">
        <v>1561</v>
      </c>
      <c r="B400" t="s">
        <v>1562</v>
      </c>
      <c r="C400" t="s">
        <v>1530</v>
      </c>
      <c r="D400" t="str">
        <f>_xlfn.XLOOKUP(ISIC_Rev_5_english_structure__1[[#This Row],[Column4]],INDUSTRYGROUP!$C$2:$C$23,INDUSTRYGROUP!$D$2:$D$23,"NONE")</f>
        <v>NONE</v>
      </c>
      <c r="E400" t="str">
        <f>_xlfn.XLOOKUP(LEFT(A400,2),SECTOR!$A$2:$A$88,SECTOR!$A$2:$A$88,"")</f>
        <v/>
      </c>
      <c r="F400" t="str">
        <f>_xlfn.XLOOKUP(LEFT(A400,2),SECTOR!$A$2:$A$88,SECTOR!$B$2:$B$88,"")</f>
        <v/>
      </c>
      <c r="G400" t="str">
        <f>_xlfn.XLOOKUP(LEFT(A400,3),INDUSTRY!$A$2:$A$259,INDUSTRY!$A$2:$A$259,"")</f>
        <v>466</v>
      </c>
      <c r="H400" t="str">
        <f>_xlfn.XLOOKUP(LEFT(A400,3),INDUSTRY!$A$2:$A$259,INDUSTRY!$B$2:$B$259,"")</f>
        <v>Wholesale of motor vehicles, motorcycles and related parts and accessories</v>
      </c>
      <c r="I400" t="str">
        <f t="shared" si="12"/>
        <v/>
      </c>
      <c r="J400" t="str">
        <f t="shared" si="13"/>
        <v/>
      </c>
    </row>
    <row r="401" spans="1:10" x14ac:dyDescent="0.25">
      <c r="A401" t="s">
        <v>1563</v>
      </c>
      <c r="B401" t="s">
        <v>1564</v>
      </c>
      <c r="C401" t="s">
        <v>1530</v>
      </c>
      <c r="D401" t="str">
        <f>_xlfn.XLOOKUP(ISIC_Rev_5_english_structure__1[[#This Row],[Column4]],INDUSTRYGROUP!$C$2:$C$23,INDUSTRYGROUP!$D$2:$D$23,"NONE")</f>
        <v>NONE</v>
      </c>
      <c r="E401" t="str">
        <f>_xlfn.XLOOKUP(LEFT(A401,2),SECTOR!$A$2:$A$88,SECTOR!$A$2:$A$88,"")</f>
        <v/>
      </c>
      <c r="F401" t="str">
        <f>_xlfn.XLOOKUP(LEFT(A401,2),SECTOR!$A$2:$A$88,SECTOR!$B$2:$B$88,"")</f>
        <v/>
      </c>
      <c r="G401" t="str">
        <f>_xlfn.XLOOKUP(LEFT(A401,3),INDUSTRY!$A$2:$A$259,INDUSTRY!$A$2:$A$259,"")</f>
        <v>466</v>
      </c>
      <c r="H401" t="str">
        <f>_xlfn.XLOOKUP(LEFT(A401,3),INDUSTRY!$A$2:$A$259,INDUSTRY!$B$2:$B$259,"")</f>
        <v>Wholesale of motor vehicles, motorcycles and related parts and accessories</v>
      </c>
      <c r="I401" t="str">
        <f t="shared" si="12"/>
        <v>4661</v>
      </c>
      <c r="J401" t="str">
        <f t="shared" si="13"/>
        <v>Wholesale of motor vehicles</v>
      </c>
    </row>
    <row r="402" spans="1:10" x14ac:dyDescent="0.25">
      <c r="A402" t="s">
        <v>1565</v>
      </c>
      <c r="B402" t="s">
        <v>1566</v>
      </c>
      <c r="C402" t="s">
        <v>1530</v>
      </c>
      <c r="D402" t="str">
        <f>_xlfn.XLOOKUP(ISIC_Rev_5_english_structure__1[[#This Row],[Column4]],INDUSTRYGROUP!$C$2:$C$23,INDUSTRYGROUP!$D$2:$D$23,"NONE")</f>
        <v>NONE</v>
      </c>
      <c r="E402" t="str">
        <f>_xlfn.XLOOKUP(LEFT(A402,2),SECTOR!$A$2:$A$88,SECTOR!$A$2:$A$88,"")</f>
        <v/>
      </c>
      <c r="F402" t="str">
        <f>_xlfn.XLOOKUP(LEFT(A402,2),SECTOR!$A$2:$A$88,SECTOR!$B$2:$B$88,"")</f>
        <v/>
      </c>
      <c r="G402" t="str">
        <f>_xlfn.XLOOKUP(LEFT(A402,3),INDUSTRY!$A$2:$A$259,INDUSTRY!$A$2:$A$259,"")</f>
        <v>466</v>
      </c>
      <c r="H402" t="str">
        <f>_xlfn.XLOOKUP(LEFT(A402,3),INDUSTRY!$A$2:$A$259,INDUSTRY!$B$2:$B$259,"")</f>
        <v>Wholesale of motor vehicles, motorcycles and related parts and accessories</v>
      </c>
      <c r="I402" t="str">
        <f t="shared" si="12"/>
        <v>4662</v>
      </c>
      <c r="J402" t="str">
        <f t="shared" si="13"/>
        <v>Wholesale of motor vehicle parts and accessories</v>
      </c>
    </row>
    <row r="403" spans="1:10" x14ac:dyDescent="0.25">
      <c r="A403" t="s">
        <v>1567</v>
      </c>
      <c r="B403" t="s">
        <v>1568</v>
      </c>
      <c r="C403" t="s">
        <v>1530</v>
      </c>
      <c r="D403" t="str">
        <f>_xlfn.XLOOKUP(ISIC_Rev_5_english_structure__1[[#This Row],[Column4]],INDUSTRYGROUP!$C$2:$C$23,INDUSTRYGROUP!$D$2:$D$23,"NONE")</f>
        <v>NONE</v>
      </c>
      <c r="E403" t="str">
        <f>_xlfn.XLOOKUP(LEFT(A403,2),SECTOR!$A$2:$A$88,SECTOR!$A$2:$A$88,"")</f>
        <v/>
      </c>
      <c r="F403" t="str">
        <f>_xlfn.XLOOKUP(LEFT(A403,2),SECTOR!$A$2:$A$88,SECTOR!$B$2:$B$88,"")</f>
        <v/>
      </c>
      <c r="G403" t="str">
        <f>_xlfn.XLOOKUP(LEFT(A403,3),INDUSTRY!$A$2:$A$259,INDUSTRY!$A$2:$A$259,"")</f>
        <v>466</v>
      </c>
      <c r="H403" t="str">
        <f>_xlfn.XLOOKUP(LEFT(A403,3),INDUSTRY!$A$2:$A$259,INDUSTRY!$B$2:$B$259,"")</f>
        <v>Wholesale of motor vehicles, motorcycles and related parts and accessories</v>
      </c>
      <c r="I403" t="str">
        <f t="shared" si="12"/>
        <v>4663</v>
      </c>
      <c r="J403" t="str">
        <f t="shared" si="13"/>
        <v>Wholesale of motorcycles, motorcycle parts and accessories</v>
      </c>
    </row>
    <row r="404" spans="1:10" x14ac:dyDescent="0.25">
      <c r="A404" t="s">
        <v>1569</v>
      </c>
      <c r="B404" t="s">
        <v>1570</v>
      </c>
      <c r="C404" t="s">
        <v>1530</v>
      </c>
      <c r="D404" t="str">
        <f>_xlfn.XLOOKUP(ISIC_Rev_5_english_structure__1[[#This Row],[Column4]],INDUSTRYGROUP!$C$2:$C$23,INDUSTRYGROUP!$D$2:$D$23,"NONE")</f>
        <v>NONE</v>
      </c>
      <c r="E404" t="str">
        <f>_xlfn.XLOOKUP(LEFT(A404,2),SECTOR!$A$2:$A$88,SECTOR!$A$2:$A$88,"")</f>
        <v/>
      </c>
      <c r="F404" t="str">
        <f>_xlfn.XLOOKUP(LEFT(A404,2),SECTOR!$A$2:$A$88,SECTOR!$B$2:$B$88,"")</f>
        <v/>
      </c>
      <c r="G404" t="str">
        <f>_xlfn.XLOOKUP(LEFT(A404,3),INDUSTRY!$A$2:$A$259,INDUSTRY!$A$2:$A$259,"")</f>
        <v>467</v>
      </c>
      <c r="H404" t="str">
        <f>_xlfn.XLOOKUP(LEFT(A404,3),INDUSTRY!$A$2:$A$259,INDUSTRY!$B$2:$B$259,"")</f>
        <v>Other specialized wholesale</v>
      </c>
      <c r="I404" t="str">
        <f t="shared" si="12"/>
        <v/>
      </c>
      <c r="J404" t="str">
        <f t="shared" si="13"/>
        <v/>
      </c>
    </row>
    <row r="405" spans="1:10" x14ac:dyDescent="0.25">
      <c r="A405" t="s">
        <v>1571</v>
      </c>
      <c r="B405" t="s">
        <v>1572</v>
      </c>
      <c r="C405" t="s">
        <v>1530</v>
      </c>
      <c r="D405" t="str">
        <f>_xlfn.XLOOKUP(ISIC_Rev_5_english_structure__1[[#This Row],[Column4]],INDUSTRYGROUP!$C$2:$C$23,INDUSTRYGROUP!$D$2:$D$23,"NONE")</f>
        <v>NONE</v>
      </c>
      <c r="E405" t="str">
        <f>_xlfn.XLOOKUP(LEFT(A405,2),SECTOR!$A$2:$A$88,SECTOR!$A$2:$A$88,"")</f>
        <v/>
      </c>
      <c r="F405" t="str">
        <f>_xlfn.XLOOKUP(LEFT(A405,2),SECTOR!$A$2:$A$88,SECTOR!$B$2:$B$88,"")</f>
        <v/>
      </c>
      <c r="G405" t="str">
        <f>_xlfn.XLOOKUP(LEFT(A405,3),INDUSTRY!$A$2:$A$259,INDUSTRY!$A$2:$A$259,"")</f>
        <v>467</v>
      </c>
      <c r="H405" t="str">
        <f>_xlfn.XLOOKUP(LEFT(A405,3),INDUSTRY!$A$2:$A$259,INDUSTRY!$B$2:$B$259,"")</f>
        <v>Other specialized wholesale</v>
      </c>
      <c r="I405" t="str">
        <f t="shared" si="12"/>
        <v>4671</v>
      </c>
      <c r="J405" t="str">
        <f t="shared" si="13"/>
        <v>Wholesale of solid, liquid and gaseous fuels and related products</v>
      </c>
    </row>
    <row r="406" spans="1:10" x14ac:dyDescent="0.25">
      <c r="A406" t="s">
        <v>1573</v>
      </c>
      <c r="B406" t="s">
        <v>1574</v>
      </c>
      <c r="C406" t="s">
        <v>1530</v>
      </c>
      <c r="D406" t="str">
        <f>_xlfn.XLOOKUP(ISIC_Rev_5_english_structure__1[[#This Row],[Column4]],INDUSTRYGROUP!$C$2:$C$23,INDUSTRYGROUP!$D$2:$D$23,"NONE")</f>
        <v>NONE</v>
      </c>
      <c r="E406" t="str">
        <f>_xlfn.XLOOKUP(LEFT(A406,2),SECTOR!$A$2:$A$88,SECTOR!$A$2:$A$88,"")</f>
        <v/>
      </c>
      <c r="F406" t="str">
        <f>_xlfn.XLOOKUP(LEFT(A406,2),SECTOR!$A$2:$A$88,SECTOR!$B$2:$B$88,"")</f>
        <v/>
      </c>
      <c r="G406" t="str">
        <f>_xlfn.XLOOKUP(LEFT(A406,3),INDUSTRY!$A$2:$A$259,INDUSTRY!$A$2:$A$259,"")</f>
        <v>467</v>
      </c>
      <c r="H406" t="str">
        <f>_xlfn.XLOOKUP(LEFT(A406,3),INDUSTRY!$A$2:$A$259,INDUSTRY!$B$2:$B$259,"")</f>
        <v>Other specialized wholesale</v>
      </c>
      <c r="I406" t="str">
        <f t="shared" si="12"/>
        <v>4672</v>
      </c>
      <c r="J406" t="str">
        <f t="shared" si="13"/>
        <v>Wholesale of metals and metal ores</v>
      </c>
    </row>
    <row r="407" spans="1:10" x14ac:dyDescent="0.25">
      <c r="A407" t="s">
        <v>1575</v>
      </c>
      <c r="B407" t="s">
        <v>1576</v>
      </c>
      <c r="C407" t="s">
        <v>1530</v>
      </c>
      <c r="D407" t="str">
        <f>_xlfn.XLOOKUP(ISIC_Rev_5_english_structure__1[[#This Row],[Column4]],INDUSTRYGROUP!$C$2:$C$23,INDUSTRYGROUP!$D$2:$D$23,"NONE")</f>
        <v>NONE</v>
      </c>
      <c r="E407" t="str">
        <f>_xlfn.XLOOKUP(LEFT(A407,2),SECTOR!$A$2:$A$88,SECTOR!$A$2:$A$88,"")</f>
        <v/>
      </c>
      <c r="F407" t="str">
        <f>_xlfn.XLOOKUP(LEFT(A407,2),SECTOR!$A$2:$A$88,SECTOR!$B$2:$B$88,"")</f>
        <v/>
      </c>
      <c r="G407" t="str">
        <f>_xlfn.XLOOKUP(LEFT(A407,3),INDUSTRY!$A$2:$A$259,INDUSTRY!$A$2:$A$259,"")</f>
        <v>467</v>
      </c>
      <c r="H407" t="str">
        <f>_xlfn.XLOOKUP(LEFT(A407,3),INDUSTRY!$A$2:$A$259,INDUSTRY!$B$2:$B$259,"")</f>
        <v>Other specialized wholesale</v>
      </c>
      <c r="I407" t="str">
        <f t="shared" si="12"/>
        <v>4673</v>
      </c>
      <c r="J407" t="str">
        <f t="shared" si="13"/>
        <v>Wholesale of construction materials, hardware, plumbing and heating equipment and supplies</v>
      </c>
    </row>
    <row r="408" spans="1:10" x14ac:dyDescent="0.25">
      <c r="A408" t="s">
        <v>1577</v>
      </c>
      <c r="B408" t="s">
        <v>1578</v>
      </c>
      <c r="C408" t="s">
        <v>1530</v>
      </c>
      <c r="D408" t="str">
        <f>_xlfn.XLOOKUP(ISIC_Rev_5_english_structure__1[[#This Row],[Column4]],INDUSTRYGROUP!$C$2:$C$23,INDUSTRYGROUP!$D$2:$D$23,"NONE")</f>
        <v>NONE</v>
      </c>
      <c r="E408" t="str">
        <f>_xlfn.XLOOKUP(LEFT(A408,2),SECTOR!$A$2:$A$88,SECTOR!$A$2:$A$88,"")</f>
        <v/>
      </c>
      <c r="F408" t="str">
        <f>_xlfn.XLOOKUP(LEFT(A408,2),SECTOR!$A$2:$A$88,SECTOR!$B$2:$B$88,"")</f>
        <v/>
      </c>
      <c r="G408" t="str">
        <f>_xlfn.XLOOKUP(LEFT(A408,3),INDUSTRY!$A$2:$A$259,INDUSTRY!$A$2:$A$259,"")</f>
        <v>467</v>
      </c>
      <c r="H408" t="str">
        <f>_xlfn.XLOOKUP(LEFT(A408,3),INDUSTRY!$A$2:$A$259,INDUSTRY!$B$2:$B$259,"")</f>
        <v>Other specialized wholesale</v>
      </c>
      <c r="I408" t="str">
        <f t="shared" si="12"/>
        <v>4679</v>
      </c>
      <c r="J408" t="str">
        <f t="shared" si="13"/>
        <v>Wholesale of chemicals, waste and scrap and other products n.e.c.</v>
      </c>
    </row>
    <row r="409" spans="1:10" x14ac:dyDescent="0.25">
      <c r="A409" t="s">
        <v>1579</v>
      </c>
      <c r="B409" t="s">
        <v>1580</v>
      </c>
      <c r="C409" t="s">
        <v>1530</v>
      </c>
      <c r="D409" t="str">
        <f>_xlfn.XLOOKUP(ISIC_Rev_5_english_structure__1[[#This Row],[Column4]],INDUSTRYGROUP!$C$2:$C$23,INDUSTRYGROUP!$D$2:$D$23,"NONE")</f>
        <v>NONE</v>
      </c>
      <c r="E409" t="str">
        <f>_xlfn.XLOOKUP(LEFT(A409,2),SECTOR!$A$2:$A$88,SECTOR!$A$2:$A$88,"")</f>
        <v/>
      </c>
      <c r="F409" t="str">
        <f>_xlfn.XLOOKUP(LEFT(A409,2),SECTOR!$A$2:$A$88,SECTOR!$B$2:$B$88,"")</f>
        <v/>
      </c>
      <c r="G409" t="str">
        <f>_xlfn.XLOOKUP(LEFT(A409,3),INDUSTRY!$A$2:$A$259,INDUSTRY!$A$2:$A$259,"")</f>
        <v>469</v>
      </c>
      <c r="H409" t="str">
        <f>_xlfn.XLOOKUP(LEFT(A409,3),INDUSTRY!$A$2:$A$259,INDUSTRY!$B$2:$B$259,"")</f>
        <v>Non-specialized wholesale trade</v>
      </c>
      <c r="I409" t="str">
        <f t="shared" si="12"/>
        <v/>
      </c>
      <c r="J409" t="str">
        <f t="shared" si="13"/>
        <v/>
      </c>
    </row>
    <row r="410" spans="1:10" x14ac:dyDescent="0.25">
      <c r="A410" t="s">
        <v>1581</v>
      </c>
      <c r="B410" t="s">
        <v>1580</v>
      </c>
      <c r="C410" t="s">
        <v>1530</v>
      </c>
      <c r="D410" t="str">
        <f>_xlfn.XLOOKUP(ISIC_Rev_5_english_structure__1[[#This Row],[Column4]],INDUSTRYGROUP!$C$2:$C$23,INDUSTRYGROUP!$D$2:$D$23,"NONE")</f>
        <v>NONE</v>
      </c>
      <c r="E410" t="str">
        <f>_xlfn.XLOOKUP(LEFT(A410,2),SECTOR!$A$2:$A$88,SECTOR!$A$2:$A$88,"")</f>
        <v/>
      </c>
      <c r="F410" t="str">
        <f>_xlfn.XLOOKUP(LEFT(A410,2),SECTOR!$A$2:$A$88,SECTOR!$B$2:$B$88,"")</f>
        <v/>
      </c>
      <c r="G410" t="str">
        <f>_xlfn.XLOOKUP(LEFT(A410,3),INDUSTRY!$A$2:$A$259,INDUSTRY!$A$2:$A$259,"")</f>
        <v>469</v>
      </c>
      <c r="H410" t="str">
        <f>_xlfn.XLOOKUP(LEFT(A410,3),INDUSTRY!$A$2:$A$259,INDUSTRY!$B$2:$B$259,"")</f>
        <v>Non-specialized wholesale trade</v>
      </c>
      <c r="I410" t="str">
        <f t="shared" si="12"/>
        <v>4690</v>
      </c>
      <c r="J410" t="str">
        <f t="shared" si="13"/>
        <v>Non-specialized wholesale trade</v>
      </c>
    </row>
    <row r="411" spans="1:10" x14ac:dyDescent="0.25">
      <c r="A411" t="s">
        <v>1582</v>
      </c>
      <c r="B411" t="s">
        <v>1583</v>
      </c>
      <c r="C411" t="s">
        <v>1530</v>
      </c>
      <c r="D411" t="str">
        <f>_xlfn.XLOOKUP(ISIC_Rev_5_english_structure__1[[#This Row],[Column4]],INDUSTRYGROUP!$C$2:$C$23,INDUSTRYGROUP!$D$2:$D$23,"NONE")</f>
        <v>NONE</v>
      </c>
      <c r="E411" t="str">
        <f>_xlfn.XLOOKUP(LEFT(A411,2),SECTOR!$A$2:$A$88,SECTOR!$A$2:$A$88,"")</f>
        <v/>
      </c>
      <c r="F411" t="str">
        <f>_xlfn.XLOOKUP(LEFT(A411,2),SECTOR!$A$2:$A$88,SECTOR!$B$2:$B$88,"")</f>
        <v/>
      </c>
      <c r="G411" t="str">
        <f>_xlfn.XLOOKUP(LEFT(A411,3),INDUSTRY!$A$2:$A$259,INDUSTRY!$A$2:$A$259,"")</f>
        <v/>
      </c>
      <c r="H411" t="str">
        <f>_xlfn.XLOOKUP(LEFT(A411,3),INDUSTRY!$A$2:$A$259,INDUSTRY!$B$2:$B$259,"")</f>
        <v/>
      </c>
      <c r="I411" t="str">
        <f t="shared" si="12"/>
        <v/>
      </c>
      <c r="J411" t="str">
        <f t="shared" si="13"/>
        <v/>
      </c>
    </row>
    <row r="412" spans="1:10" x14ac:dyDescent="0.25">
      <c r="A412" t="s">
        <v>1584</v>
      </c>
      <c r="B412" t="s">
        <v>1585</v>
      </c>
      <c r="C412" t="s">
        <v>1530</v>
      </c>
      <c r="D412" t="str">
        <f>_xlfn.XLOOKUP(ISIC_Rev_5_english_structure__1[[#This Row],[Column4]],INDUSTRYGROUP!$C$2:$C$23,INDUSTRYGROUP!$D$2:$D$23,"NONE")</f>
        <v>NONE</v>
      </c>
      <c r="E412" t="str">
        <f>_xlfn.XLOOKUP(LEFT(A412,2),SECTOR!$A$2:$A$88,SECTOR!$A$2:$A$88,"")</f>
        <v/>
      </c>
      <c r="F412" t="str">
        <f>_xlfn.XLOOKUP(LEFT(A412,2),SECTOR!$A$2:$A$88,SECTOR!$B$2:$B$88,"")</f>
        <v/>
      </c>
      <c r="G412" t="str">
        <f>_xlfn.XLOOKUP(LEFT(A412,3),INDUSTRY!$A$2:$A$259,INDUSTRY!$A$2:$A$259,"")</f>
        <v>471</v>
      </c>
      <c r="H412" t="str">
        <f>_xlfn.XLOOKUP(LEFT(A412,3),INDUSTRY!$A$2:$A$259,INDUSTRY!$B$2:$B$259,"")</f>
        <v>Non-specialized retail sale</v>
      </c>
      <c r="I412" t="str">
        <f t="shared" si="12"/>
        <v/>
      </c>
      <c r="J412" t="str">
        <f t="shared" si="13"/>
        <v/>
      </c>
    </row>
    <row r="413" spans="1:10" x14ac:dyDescent="0.25">
      <c r="A413" t="s">
        <v>1586</v>
      </c>
      <c r="B413" t="s">
        <v>1587</v>
      </c>
      <c r="C413" t="s">
        <v>1530</v>
      </c>
      <c r="D413" t="str">
        <f>_xlfn.XLOOKUP(ISIC_Rev_5_english_structure__1[[#This Row],[Column4]],INDUSTRYGROUP!$C$2:$C$23,INDUSTRYGROUP!$D$2:$D$23,"NONE")</f>
        <v>NONE</v>
      </c>
      <c r="E413" t="str">
        <f>_xlfn.XLOOKUP(LEFT(A413,2),SECTOR!$A$2:$A$88,SECTOR!$A$2:$A$88,"")</f>
        <v/>
      </c>
      <c r="F413" t="str">
        <f>_xlfn.XLOOKUP(LEFT(A413,2),SECTOR!$A$2:$A$88,SECTOR!$B$2:$B$88,"")</f>
        <v/>
      </c>
      <c r="G413" t="str">
        <f>_xlfn.XLOOKUP(LEFT(A413,3),INDUSTRY!$A$2:$A$259,INDUSTRY!$A$2:$A$259,"")</f>
        <v>471</v>
      </c>
      <c r="H413" t="str">
        <f>_xlfn.XLOOKUP(LEFT(A413,3),INDUSTRY!$A$2:$A$259,INDUSTRY!$B$2:$B$259,"")</f>
        <v>Non-specialized retail sale</v>
      </c>
      <c r="I413" t="str">
        <f t="shared" si="12"/>
        <v>4711</v>
      </c>
      <c r="J413" t="str">
        <f t="shared" si="13"/>
        <v>Non-specialized retail sale with food, beverages or tobacco predominating</v>
      </c>
    </row>
    <row r="414" spans="1:10" x14ac:dyDescent="0.25">
      <c r="A414" t="s">
        <v>1588</v>
      </c>
      <c r="B414" t="s">
        <v>1589</v>
      </c>
      <c r="C414" t="s">
        <v>1530</v>
      </c>
      <c r="D414" t="str">
        <f>_xlfn.XLOOKUP(ISIC_Rev_5_english_structure__1[[#This Row],[Column4]],INDUSTRYGROUP!$C$2:$C$23,INDUSTRYGROUP!$D$2:$D$23,"NONE")</f>
        <v>NONE</v>
      </c>
      <c r="E414" t="str">
        <f>_xlfn.XLOOKUP(LEFT(A414,2),SECTOR!$A$2:$A$88,SECTOR!$A$2:$A$88,"")</f>
        <v/>
      </c>
      <c r="F414" t="str">
        <f>_xlfn.XLOOKUP(LEFT(A414,2),SECTOR!$A$2:$A$88,SECTOR!$B$2:$B$88,"")</f>
        <v/>
      </c>
      <c r="G414" t="str">
        <f>_xlfn.XLOOKUP(LEFT(A414,3),INDUSTRY!$A$2:$A$259,INDUSTRY!$A$2:$A$259,"")</f>
        <v>471</v>
      </c>
      <c r="H414" t="str">
        <f>_xlfn.XLOOKUP(LEFT(A414,3),INDUSTRY!$A$2:$A$259,INDUSTRY!$B$2:$B$259,"")</f>
        <v>Non-specialized retail sale</v>
      </c>
      <c r="I414" t="str">
        <f t="shared" si="12"/>
        <v>4719</v>
      </c>
      <c r="J414" t="str">
        <f t="shared" si="13"/>
        <v>Other non-specialized retail sale</v>
      </c>
    </row>
    <row r="415" spans="1:10" x14ac:dyDescent="0.25">
      <c r="A415" t="s">
        <v>1590</v>
      </c>
      <c r="B415" t="s">
        <v>1591</v>
      </c>
      <c r="C415" t="s">
        <v>1530</v>
      </c>
      <c r="D415" t="str">
        <f>_xlfn.XLOOKUP(ISIC_Rev_5_english_structure__1[[#This Row],[Column4]],INDUSTRYGROUP!$C$2:$C$23,INDUSTRYGROUP!$D$2:$D$23,"NONE")</f>
        <v>NONE</v>
      </c>
      <c r="E415" t="str">
        <f>_xlfn.XLOOKUP(LEFT(A415,2),SECTOR!$A$2:$A$88,SECTOR!$A$2:$A$88,"")</f>
        <v/>
      </c>
      <c r="F415" t="str">
        <f>_xlfn.XLOOKUP(LEFT(A415,2),SECTOR!$A$2:$A$88,SECTOR!$B$2:$B$88,"")</f>
        <v/>
      </c>
      <c r="G415" t="str">
        <f>_xlfn.XLOOKUP(LEFT(A415,3),INDUSTRY!$A$2:$A$259,INDUSTRY!$A$2:$A$259,"")</f>
        <v>472</v>
      </c>
      <c r="H415" t="str">
        <f>_xlfn.XLOOKUP(LEFT(A415,3),INDUSTRY!$A$2:$A$259,INDUSTRY!$B$2:$B$259,"")</f>
        <v>Retail sale of food, beverages and tobacco</v>
      </c>
      <c r="I415" t="str">
        <f t="shared" si="12"/>
        <v/>
      </c>
      <c r="J415" t="str">
        <f t="shared" si="13"/>
        <v/>
      </c>
    </row>
    <row r="416" spans="1:10" x14ac:dyDescent="0.25">
      <c r="A416" t="s">
        <v>1592</v>
      </c>
      <c r="B416" t="s">
        <v>1593</v>
      </c>
      <c r="C416" t="s">
        <v>1530</v>
      </c>
      <c r="D416" t="str">
        <f>_xlfn.XLOOKUP(ISIC_Rev_5_english_structure__1[[#This Row],[Column4]],INDUSTRYGROUP!$C$2:$C$23,INDUSTRYGROUP!$D$2:$D$23,"NONE")</f>
        <v>NONE</v>
      </c>
      <c r="E416" t="str">
        <f>_xlfn.XLOOKUP(LEFT(A416,2),SECTOR!$A$2:$A$88,SECTOR!$A$2:$A$88,"")</f>
        <v/>
      </c>
      <c r="F416" t="str">
        <f>_xlfn.XLOOKUP(LEFT(A416,2),SECTOR!$A$2:$A$88,SECTOR!$B$2:$B$88,"")</f>
        <v/>
      </c>
      <c r="G416" t="str">
        <f>_xlfn.XLOOKUP(LEFT(A416,3),INDUSTRY!$A$2:$A$259,INDUSTRY!$A$2:$A$259,"")</f>
        <v>472</v>
      </c>
      <c r="H416" t="str">
        <f>_xlfn.XLOOKUP(LEFT(A416,3),INDUSTRY!$A$2:$A$259,INDUSTRY!$B$2:$B$259,"")</f>
        <v>Retail sale of food, beverages and tobacco</v>
      </c>
      <c r="I416" t="str">
        <f t="shared" si="12"/>
        <v>4721</v>
      </c>
      <c r="J416" t="str">
        <f t="shared" si="13"/>
        <v>Retail sale of food</v>
      </c>
    </row>
    <row r="417" spans="1:10" x14ac:dyDescent="0.25">
      <c r="A417" t="s">
        <v>1594</v>
      </c>
      <c r="B417" t="s">
        <v>1595</v>
      </c>
      <c r="C417" t="s">
        <v>1530</v>
      </c>
      <c r="D417" t="str">
        <f>_xlfn.XLOOKUP(ISIC_Rev_5_english_structure__1[[#This Row],[Column4]],INDUSTRYGROUP!$C$2:$C$23,INDUSTRYGROUP!$D$2:$D$23,"NONE")</f>
        <v>NONE</v>
      </c>
      <c r="E417" t="str">
        <f>_xlfn.XLOOKUP(LEFT(A417,2),SECTOR!$A$2:$A$88,SECTOR!$A$2:$A$88,"")</f>
        <v/>
      </c>
      <c r="F417" t="str">
        <f>_xlfn.XLOOKUP(LEFT(A417,2),SECTOR!$A$2:$A$88,SECTOR!$B$2:$B$88,"")</f>
        <v/>
      </c>
      <c r="G417" t="str">
        <f>_xlfn.XLOOKUP(LEFT(A417,3),INDUSTRY!$A$2:$A$259,INDUSTRY!$A$2:$A$259,"")</f>
        <v>472</v>
      </c>
      <c r="H417" t="str">
        <f>_xlfn.XLOOKUP(LEFT(A417,3),INDUSTRY!$A$2:$A$259,INDUSTRY!$B$2:$B$259,"")</f>
        <v>Retail sale of food, beverages and tobacco</v>
      </c>
      <c r="I417" t="str">
        <f t="shared" si="12"/>
        <v>4722</v>
      </c>
      <c r="J417" t="str">
        <f t="shared" si="13"/>
        <v>Retail sale of beverages</v>
      </c>
    </row>
    <row r="418" spans="1:10" x14ac:dyDescent="0.25">
      <c r="A418" t="s">
        <v>1596</v>
      </c>
      <c r="B418" t="s">
        <v>1597</v>
      </c>
      <c r="C418" t="s">
        <v>1530</v>
      </c>
      <c r="D418" t="str">
        <f>_xlfn.XLOOKUP(ISIC_Rev_5_english_structure__1[[#This Row],[Column4]],INDUSTRYGROUP!$C$2:$C$23,INDUSTRYGROUP!$D$2:$D$23,"NONE")</f>
        <v>NONE</v>
      </c>
      <c r="E418" t="str">
        <f>_xlfn.XLOOKUP(LEFT(A418,2),SECTOR!$A$2:$A$88,SECTOR!$A$2:$A$88,"")</f>
        <v/>
      </c>
      <c r="F418" t="str">
        <f>_xlfn.XLOOKUP(LEFT(A418,2),SECTOR!$A$2:$A$88,SECTOR!$B$2:$B$88,"")</f>
        <v/>
      </c>
      <c r="G418" t="str">
        <f>_xlfn.XLOOKUP(LEFT(A418,3),INDUSTRY!$A$2:$A$259,INDUSTRY!$A$2:$A$259,"")</f>
        <v>472</v>
      </c>
      <c r="H418" t="str">
        <f>_xlfn.XLOOKUP(LEFT(A418,3),INDUSTRY!$A$2:$A$259,INDUSTRY!$B$2:$B$259,"")</f>
        <v>Retail sale of food, beverages and tobacco</v>
      </c>
      <c r="I418" t="str">
        <f t="shared" si="12"/>
        <v>4723</v>
      </c>
      <c r="J418" t="str">
        <f t="shared" si="13"/>
        <v>Retail sale of tobacco products</v>
      </c>
    </row>
    <row r="419" spans="1:10" x14ac:dyDescent="0.25">
      <c r="A419" t="s">
        <v>1598</v>
      </c>
      <c r="B419" t="s">
        <v>1599</v>
      </c>
      <c r="C419" t="s">
        <v>1530</v>
      </c>
      <c r="D419" t="str">
        <f>_xlfn.XLOOKUP(ISIC_Rev_5_english_structure__1[[#This Row],[Column4]],INDUSTRYGROUP!$C$2:$C$23,INDUSTRYGROUP!$D$2:$D$23,"NONE")</f>
        <v>NONE</v>
      </c>
      <c r="E419" t="str">
        <f>_xlfn.XLOOKUP(LEFT(A419,2),SECTOR!$A$2:$A$88,SECTOR!$A$2:$A$88,"")</f>
        <v/>
      </c>
      <c r="F419" t="str">
        <f>_xlfn.XLOOKUP(LEFT(A419,2),SECTOR!$A$2:$A$88,SECTOR!$B$2:$B$88,"")</f>
        <v/>
      </c>
      <c r="G419" t="str">
        <f>_xlfn.XLOOKUP(LEFT(A419,3),INDUSTRY!$A$2:$A$259,INDUSTRY!$A$2:$A$259,"")</f>
        <v>473</v>
      </c>
      <c r="H419" t="str">
        <f>_xlfn.XLOOKUP(LEFT(A419,3),INDUSTRY!$A$2:$A$259,INDUSTRY!$B$2:$B$259,"")</f>
        <v>Retail sale of automotive fuel</v>
      </c>
      <c r="I419" t="str">
        <f t="shared" si="12"/>
        <v/>
      </c>
      <c r="J419" t="str">
        <f t="shared" si="13"/>
        <v/>
      </c>
    </row>
    <row r="420" spans="1:10" x14ac:dyDescent="0.25">
      <c r="A420" t="s">
        <v>1600</v>
      </c>
      <c r="B420" t="s">
        <v>1599</v>
      </c>
      <c r="C420" t="s">
        <v>1530</v>
      </c>
      <c r="D420" t="str">
        <f>_xlfn.XLOOKUP(ISIC_Rev_5_english_structure__1[[#This Row],[Column4]],INDUSTRYGROUP!$C$2:$C$23,INDUSTRYGROUP!$D$2:$D$23,"NONE")</f>
        <v>NONE</v>
      </c>
      <c r="E420" t="str">
        <f>_xlfn.XLOOKUP(LEFT(A420,2),SECTOR!$A$2:$A$88,SECTOR!$A$2:$A$88,"")</f>
        <v/>
      </c>
      <c r="F420" t="str">
        <f>_xlfn.XLOOKUP(LEFT(A420,2),SECTOR!$A$2:$A$88,SECTOR!$B$2:$B$88,"")</f>
        <v/>
      </c>
      <c r="G420" t="str">
        <f>_xlfn.XLOOKUP(LEFT(A420,3),INDUSTRY!$A$2:$A$259,INDUSTRY!$A$2:$A$259,"")</f>
        <v>473</v>
      </c>
      <c r="H420" t="str">
        <f>_xlfn.XLOOKUP(LEFT(A420,3),INDUSTRY!$A$2:$A$259,INDUSTRY!$B$2:$B$259,"")</f>
        <v>Retail sale of automotive fuel</v>
      </c>
      <c r="I420" t="str">
        <f t="shared" si="12"/>
        <v>4730</v>
      </c>
      <c r="J420" t="str">
        <f t="shared" si="13"/>
        <v>Retail sale of automotive fuel</v>
      </c>
    </row>
    <row r="421" spans="1:10" x14ac:dyDescent="0.25">
      <c r="A421" t="s">
        <v>1601</v>
      </c>
      <c r="B421" t="s">
        <v>1602</v>
      </c>
      <c r="C421" t="s">
        <v>1530</v>
      </c>
      <c r="D421" t="str">
        <f>_xlfn.XLOOKUP(ISIC_Rev_5_english_structure__1[[#This Row],[Column4]],INDUSTRYGROUP!$C$2:$C$23,INDUSTRYGROUP!$D$2:$D$23,"NONE")</f>
        <v>NONE</v>
      </c>
      <c r="E421" t="str">
        <f>_xlfn.XLOOKUP(LEFT(A421,2),SECTOR!$A$2:$A$88,SECTOR!$A$2:$A$88,"")</f>
        <v/>
      </c>
      <c r="F421" t="str">
        <f>_xlfn.XLOOKUP(LEFT(A421,2),SECTOR!$A$2:$A$88,SECTOR!$B$2:$B$88,"")</f>
        <v/>
      </c>
      <c r="G421" t="str">
        <f>_xlfn.XLOOKUP(LEFT(A421,3),INDUSTRY!$A$2:$A$259,INDUSTRY!$A$2:$A$259,"")</f>
        <v>474</v>
      </c>
      <c r="H421" t="str">
        <f>_xlfn.XLOOKUP(LEFT(A421,3),INDUSTRY!$A$2:$A$259,INDUSTRY!$B$2:$B$259,"")</f>
        <v>Retail sale of information and communication equipment</v>
      </c>
      <c r="I421" t="str">
        <f t="shared" si="12"/>
        <v/>
      </c>
      <c r="J421" t="str">
        <f t="shared" si="13"/>
        <v/>
      </c>
    </row>
    <row r="422" spans="1:10" x14ac:dyDescent="0.25">
      <c r="A422" t="s">
        <v>1603</v>
      </c>
      <c r="B422" t="s">
        <v>1602</v>
      </c>
      <c r="C422" t="s">
        <v>1530</v>
      </c>
      <c r="D422" t="str">
        <f>_xlfn.XLOOKUP(ISIC_Rev_5_english_structure__1[[#This Row],[Column4]],INDUSTRYGROUP!$C$2:$C$23,INDUSTRYGROUP!$D$2:$D$23,"NONE")</f>
        <v>NONE</v>
      </c>
      <c r="E422" t="str">
        <f>_xlfn.XLOOKUP(LEFT(A422,2),SECTOR!$A$2:$A$88,SECTOR!$A$2:$A$88,"")</f>
        <v/>
      </c>
      <c r="F422" t="str">
        <f>_xlfn.XLOOKUP(LEFT(A422,2),SECTOR!$A$2:$A$88,SECTOR!$B$2:$B$88,"")</f>
        <v/>
      </c>
      <c r="G422" t="str">
        <f>_xlfn.XLOOKUP(LEFT(A422,3),INDUSTRY!$A$2:$A$259,INDUSTRY!$A$2:$A$259,"")</f>
        <v>474</v>
      </c>
      <c r="H422" t="str">
        <f>_xlfn.XLOOKUP(LEFT(A422,3),INDUSTRY!$A$2:$A$259,INDUSTRY!$B$2:$B$259,"")</f>
        <v>Retail sale of information and communication equipment</v>
      </c>
      <c r="I422" t="str">
        <f t="shared" si="12"/>
        <v>4740</v>
      </c>
      <c r="J422" t="str">
        <f t="shared" si="13"/>
        <v>Retail sale of information and communication equipment</v>
      </c>
    </row>
    <row r="423" spans="1:10" x14ac:dyDescent="0.25">
      <c r="A423" t="s">
        <v>1604</v>
      </c>
      <c r="B423" t="s">
        <v>1605</v>
      </c>
      <c r="C423" t="s">
        <v>1530</v>
      </c>
      <c r="D423" t="str">
        <f>_xlfn.XLOOKUP(ISIC_Rev_5_english_structure__1[[#This Row],[Column4]],INDUSTRYGROUP!$C$2:$C$23,INDUSTRYGROUP!$D$2:$D$23,"NONE")</f>
        <v>NONE</v>
      </c>
      <c r="E423" t="str">
        <f>_xlfn.XLOOKUP(LEFT(A423,2),SECTOR!$A$2:$A$88,SECTOR!$A$2:$A$88,"")</f>
        <v/>
      </c>
      <c r="F423" t="str">
        <f>_xlfn.XLOOKUP(LEFT(A423,2),SECTOR!$A$2:$A$88,SECTOR!$B$2:$B$88,"")</f>
        <v/>
      </c>
      <c r="G423" t="str">
        <f>_xlfn.XLOOKUP(LEFT(A423,3),INDUSTRY!$A$2:$A$259,INDUSTRY!$A$2:$A$259,"")</f>
        <v>475</v>
      </c>
      <c r="H423" t="str">
        <f>_xlfn.XLOOKUP(LEFT(A423,3),INDUSTRY!$A$2:$A$259,INDUSTRY!$B$2:$B$259,"")</f>
        <v>Retail sale of other household equipment</v>
      </c>
      <c r="I423" t="str">
        <f t="shared" si="12"/>
        <v/>
      </c>
      <c r="J423" t="str">
        <f t="shared" si="13"/>
        <v/>
      </c>
    </row>
    <row r="424" spans="1:10" x14ac:dyDescent="0.25">
      <c r="A424" t="s">
        <v>1606</v>
      </c>
      <c r="B424" t="s">
        <v>1607</v>
      </c>
      <c r="C424" t="s">
        <v>1530</v>
      </c>
      <c r="D424" t="str">
        <f>_xlfn.XLOOKUP(ISIC_Rev_5_english_structure__1[[#This Row],[Column4]],INDUSTRYGROUP!$C$2:$C$23,INDUSTRYGROUP!$D$2:$D$23,"NONE")</f>
        <v>NONE</v>
      </c>
      <c r="E424" t="str">
        <f>_xlfn.XLOOKUP(LEFT(A424,2),SECTOR!$A$2:$A$88,SECTOR!$A$2:$A$88,"")</f>
        <v/>
      </c>
      <c r="F424" t="str">
        <f>_xlfn.XLOOKUP(LEFT(A424,2),SECTOR!$A$2:$A$88,SECTOR!$B$2:$B$88,"")</f>
        <v/>
      </c>
      <c r="G424" t="str">
        <f>_xlfn.XLOOKUP(LEFT(A424,3),INDUSTRY!$A$2:$A$259,INDUSTRY!$A$2:$A$259,"")</f>
        <v>475</v>
      </c>
      <c r="H424" t="str">
        <f>_xlfn.XLOOKUP(LEFT(A424,3),INDUSTRY!$A$2:$A$259,INDUSTRY!$B$2:$B$259,"")</f>
        <v>Retail sale of other household equipment</v>
      </c>
      <c r="I424" t="str">
        <f t="shared" si="12"/>
        <v>4751</v>
      </c>
      <c r="J424" t="str">
        <f t="shared" si="13"/>
        <v>Retail sale of textiles</v>
      </c>
    </row>
    <row r="425" spans="1:10" x14ac:dyDescent="0.25">
      <c r="A425" t="s">
        <v>1608</v>
      </c>
      <c r="B425" t="s">
        <v>1609</v>
      </c>
      <c r="C425" t="s">
        <v>1530</v>
      </c>
      <c r="D425" t="str">
        <f>_xlfn.XLOOKUP(ISIC_Rev_5_english_structure__1[[#This Row],[Column4]],INDUSTRYGROUP!$C$2:$C$23,INDUSTRYGROUP!$D$2:$D$23,"NONE")</f>
        <v>NONE</v>
      </c>
      <c r="E425" t="str">
        <f>_xlfn.XLOOKUP(LEFT(A425,2),SECTOR!$A$2:$A$88,SECTOR!$A$2:$A$88,"")</f>
        <v/>
      </c>
      <c r="F425" t="str">
        <f>_xlfn.XLOOKUP(LEFT(A425,2),SECTOR!$A$2:$A$88,SECTOR!$B$2:$B$88,"")</f>
        <v/>
      </c>
      <c r="G425" t="str">
        <f>_xlfn.XLOOKUP(LEFT(A425,3),INDUSTRY!$A$2:$A$259,INDUSTRY!$A$2:$A$259,"")</f>
        <v>475</v>
      </c>
      <c r="H425" t="str">
        <f>_xlfn.XLOOKUP(LEFT(A425,3),INDUSTRY!$A$2:$A$259,INDUSTRY!$B$2:$B$259,"")</f>
        <v>Retail sale of other household equipment</v>
      </c>
      <c r="I425" t="str">
        <f t="shared" si="12"/>
        <v>4752</v>
      </c>
      <c r="J425" t="str">
        <f t="shared" si="13"/>
        <v>Retail sale of hardware, building materials, paints and glass</v>
      </c>
    </row>
    <row r="426" spans="1:10" x14ac:dyDescent="0.25">
      <c r="A426" t="s">
        <v>1610</v>
      </c>
      <c r="B426" t="s">
        <v>1611</v>
      </c>
      <c r="C426" t="s">
        <v>1530</v>
      </c>
      <c r="D426" t="str">
        <f>_xlfn.XLOOKUP(ISIC_Rev_5_english_structure__1[[#This Row],[Column4]],INDUSTRYGROUP!$C$2:$C$23,INDUSTRYGROUP!$D$2:$D$23,"NONE")</f>
        <v>NONE</v>
      </c>
      <c r="E426" t="str">
        <f>_xlfn.XLOOKUP(LEFT(A426,2),SECTOR!$A$2:$A$88,SECTOR!$A$2:$A$88,"")</f>
        <v/>
      </c>
      <c r="F426" t="str">
        <f>_xlfn.XLOOKUP(LEFT(A426,2),SECTOR!$A$2:$A$88,SECTOR!$B$2:$B$88,"")</f>
        <v/>
      </c>
      <c r="G426" t="str">
        <f>_xlfn.XLOOKUP(LEFT(A426,3),INDUSTRY!$A$2:$A$259,INDUSTRY!$A$2:$A$259,"")</f>
        <v>475</v>
      </c>
      <c r="H426" t="str">
        <f>_xlfn.XLOOKUP(LEFT(A426,3),INDUSTRY!$A$2:$A$259,INDUSTRY!$B$2:$B$259,"")</f>
        <v>Retail sale of other household equipment</v>
      </c>
      <c r="I426" t="str">
        <f t="shared" si="12"/>
        <v>4753</v>
      </c>
      <c r="J426" t="str">
        <f t="shared" si="13"/>
        <v>Retail sale of carpets, rugs, wall and floor coverings</v>
      </c>
    </row>
    <row r="427" spans="1:10" x14ac:dyDescent="0.25">
      <c r="A427" t="s">
        <v>1612</v>
      </c>
      <c r="B427" t="s">
        <v>1613</v>
      </c>
      <c r="C427" t="s">
        <v>1530</v>
      </c>
      <c r="D427" t="str">
        <f>_xlfn.XLOOKUP(ISIC_Rev_5_english_structure__1[[#This Row],[Column4]],INDUSTRYGROUP!$C$2:$C$23,INDUSTRYGROUP!$D$2:$D$23,"NONE")</f>
        <v>NONE</v>
      </c>
      <c r="E427" t="str">
        <f>_xlfn.XLOOKUP(LEFT(A427,2),SECTOR!$A$2:$A$88,SECTOR!$A$2:$A$88,"")</f>
        <v/>
      </c>
      <c r="F427" t="str">
        <f>_xlfn.XLOOKUP(LEFT(A427,2),SECTOR!$A$2:$A$88,SECTOR!$B$2:$B$88,"")</f>
        <v/>
      </c>
      <c r="G427" t="str">
        <f>_xlfn.XLOOKUP(LEFT(A427,3),INDUSTRY!$A$2:$A$259,INDUSTRY!$A$2:$A$259,"")</f>
        <v>475</v>
      </c>
      <c r="H427" t="str">
        <f>_xlfn.XLOOKUP(LEFT(A427,3),INDUSTRY!$A$2:$A$259,INDUSTRY!$B$2:$B$259,"")</f>
        <v>Retail sale of other household equipment</v>
      </c>
      <c r="I427" t="str">
        <f t="shared" si="12"/>
        <v>4759</v>
      </c>
      <c r="J427" t="str">
        <f t="shared" si="13"/>
        <v>Retail sale of electrical household appliances, furniture, lighting equipment and other household articles</v>
      </c>
    </row>
    <row r="428" spans="1:10" x14ac:dyDescent="0.25">
      <c r="A428" t="s">
        <v>1614</v>
      </c>
      <c r="B428" t="s">
        <v>1615</v>
      </c>
      <c r="C428" t="s">
        <v>1530</v>
      </c>
      <c r="D428" t="str">
        <f>_xlfn.XLOOKUP(ISIC_Rev_5_english_structure__1[[#This Row],[Column4]],INDUSTRYGROUP!$C$2:$C$23,INDUSTRYGROUP!$D$2:$D$23,"NONE")</f>
        <v>NONE</v>
      </c>
      <c r="E428" t="str">
        <f>_xlfn.XLOOKUP(LEFT(A428,2),SECTOR!$A$2:$A$88,SECTOR!$A$2:$A$88,"")</f>
        <v/>
      </c>
      <c r="F428" t="str">
        <f>_xlfn.XLOOKUP(LEFT(A428,2),SECTOR!$A$2:$A$88,SECTOR!$B$2:$B$88,"")</f>
        <v/>
      </c>
      <c r="G428" t="str">
        <f>_xlfn.XLOOKUP(LEFT(A428,3),INDUSTRY!$A$2:$A$259,INDUSTRY!$A$2:$A$259,"")</f>
        <v>476</v>
      </c>
      <c r="H428" t="str">
        <f>_xlfn.XLOOKUP(LEFT(A428,3),INDUSTRY!$A$2:$A$259,INDUSTRY!$B$2:$B$259,"")</f>
        <v>Retail sale of cultural and recreational goods</v>
      </c>
      <c r="I428" t="str">
        <f t="shared" si="12"/>
        <v/>
      </c>
      <c r="J428" t="str">
        <f t="shared" si="13"/>
        <v/>
      </c>
    </row>
    <row r="429" spans="1:10" x14ac:dyDescent="0.25">
      <c r="A429" t="s">
        <v>1616</v>
      </c>
      <c r="B429" t="s">
        <v>1617</v>
      </c>
      <c r="C429" t="s">
        <v>1530</v>
      </c>
      <c r="D429" t="str">
        <f>_xlfn.XLOOKUP(ISIC_Rev_5_english_structure__1[[#This Row],[Column4]],INDUSTRYGROUP!$C$2:$C$23,INDUSTRYGROUP!$D$2:$D$23,"NONE")</f>
        <v>NONE</v>
      </c>
      <c r="E429" t="str">
        <f>_xlfn.XLOOKUP(LEFT(A429,2),SECTOR!$A$2:$A$88,SECTOR!$A$2:$A$88,"")</f>
        <v/>
      </c>
      <c r="F429" t="str">
        <f>_xlfn.XLOOKUP(LEFT(A429,2),SECTOR!$A$2:$A$88,SECTOR!$B$2:$B$88,"")</f>
        <v/>
      </c>
      <c r="G429" t="str">
        <f>_xlfn.XLOOKUP(LEFT(A429,3),INDUSTRY!$A$2:$A$259,INDUSTRY!$A$2:$A$259,"")</f>
        <v>476</v>
      </c>
      <c r="H429" t="str">
        <f>_xlfn.XLOOKUP(LEFT(A429,3),INDUSTRY!$A$2:$A$259,INDUSTRY!$B$2:$B$259,"")</f>
        <v>Retail sale of cultural and recreational goods</v>
      </c>
      <c r="I429" t="str">
        <f t="shared" si="12"/>
        <v>4761</v>
      </c>
      <c r="J429" t="str">
        <f t="shared" si="13"/>
        <v>Retail sale of books, newspapers, stationery and office supplies</v>
      </c>
    </row>
    <row r="430" spans="1:10" x14ac:dyDescent="0.25">
      <c r="A430" t="s">
        <v>1618</v>
      </c>
      <c r="B430" t="s">
        <v>1619</v>
      </c>
      <c r="C430" t="s">
        <v>1530</v>
      </c>
      <c r="D430" t="str">
        <f>_xlfn.XLOOKUP(ISIC_Rev_5_english_structure__1[[#This Row],[Column4]],INDUSTRYGROUP!$C$2:$C$23,INDUSTRYGROUP!$D$2:$D$23,"NONE")</f>
        <v>NONE</v>
      </c>
      <c r="E430" t="str">
        <f>_xlfn.XLOOKUP(LEFT(A430,2),SECTOR!$A$2:$A$88,SECTOR!$A$2:$A$88,"")</f>
        <v/>
      </c>
      <c r="F430" t="str">
        <f>_xlfn.XLOOKUP(LEFT(A430,2),SECTOR!$A$2:$A$88,SECTOR!$B$2:$B$88,"")</f>
        <v/>
      </c>
      <c r="G430" t="str">
        <f>_xlfn.XLOOKUP(LEFT(A430,3),INDUSTRY!$A$2:$A$259,INDUSTRY!$A$2:$A$259,"")</f>
        <v>476</v>
      </c>
      <c r="H430" t="str">
        <f>_xlfn.XLOOKUP(LEFT(A430,3),INDUSTRY!$A$2:$A$259,INDUSTRY!$B$2:$B$259,"")</f>
        <v>Retail sale of cultural and recreational goods</v>
      </c>
      <c r="I430" t="str">
        <f t="shared" si="12"/>
        <v>4762</v>
      </c>
      <c r="J430" t="str">
        <f t="shared" si="13"/>
        <v>Retail sale of sporting equipment</v>
      </c>
    </row>
    <row r="431" spans="1:10" x14ac:dyDescent="0.25">
      <c r="A431" t="s">
        <v>1620</v>
      </c>
      <c r="B431" t="s">
        <v>1621</v>
      </c>
      <c r="C431" t="s">
        <v>1530</v>
      </c>
      <c r="D431" t="str">
        <f>_xlfn.XLOOKUP(ISIC_Rev_5_english_structure__1[[#This Row],[Column4]],INDUSTRYGROUP!$C$2:$C$23,INDUSTRYGROUP!$D$2:$D$23,"NONE")</f>
        <v>NONE</v>
      </c>
      <c r="E431" t="str">
        <f>_xlfn.XLOOKUP(LEFT(A431,2),SECTOR!$A$2:$A$88,SECTOR!$A$2:$A$88,"")</f>
        <v/>
      </c>
      <c r="F431" t="str">
        <f>_xlfn.XLOOKUP(LEFT(A431,2),SECTOR!$A$2:$A$88,SECTOR!$B$2:$B$88,"")</f>
        <v/>
      </c>
      <c r="G431" t="str">
        <f>_xlfn.XLOOKUP(LEFT(A431,3),INDUSTRY!$A$2:$A$259,INDUSTRY!$A$2:$A$259,"")</f>
        <v>476</v>
      </c>
      <c r="H431" t="str">
        <f>_xlfn.XLOOKUP(LEFT(A431,3),INDUSTRY!$A$2:$A$259,INDUSTRY!$B$2:$B$259,"")</f>
        <v>Retail sale of cultural and recreational goods</v>
      </c>
      <c r="I431" t="str">
        <f t="shared" si="12"/>
        <v>4763</v>
      </c>
      <c r="J431" t="str">
        <f t="shared" si="13"/>
        <v>Retail sale of games and toys</v>
      </c>
    </row>
    <row r="432" spans="1:10" x14ac:dyDescent="0.25">
      <c r="A432" t="s">
        <v>1622</v>
      </c>
      <c r="B432" t="s">
        <v>1623</v>
      </c>
      <c r="C432" t="s">
        <v>1530</v>
      </c>
      <c r="D432" t="str">
        <f>_xlfn.XLOOKUP(ISIC_Rev_5_english_structure__1[[#This Row],[Column4]],INDUSTRYGROUP!$C$2:$C$23,INDUSTRYGROUP!$D$2:$D$23,"NONE")</f>
        <v>NONE</v>
      </c>
      <c r="E432" t="str">
        <f>_xlfn.XLOOKUP(LEFT(A432,2),SECTOR!$A$2:$A$88,SECTOR!$A$2:$A$88,"")</f>
        <v/>
      </c>
      <c r="F432" t="str">
        <f>_xlfn.XLOOKUP(LEFT(A432,2),SECTOR!$A$2:$A$88,SECTOR!$B$2:$B$88,"")</f>
        <v/>
      </c>
      <c r="G432" t="str">
        <f>_xlfn.XLOOKUP(LEFT(A432,3),INDUSTRY!$A$2:$A$259,INDUSTRY!$A$2:$A$259,"")</f>
        <v>476</v>
      </c>
      <c r="H432" t="str">
        <f>_xlfn.XLOOKUP(LEFT(A432,3),INDUSTRY!$A$2:$A$259,INDUSTRY!$B$2:$B$259,"")</f>
        <v>Retail sale of cultural and recreational goods</v>
      </c>
      <c r="I432" t="str">
        <f t="shared" si="12"/>
        <v>4769</v>
      </c>
      <c r="J432" t="str">
        <f t="shared" si="13"/>
        <v>Retail sale of cultural and recreational goods n.e.c.</v>
      </c>
    </row>
    <row r="433" spans="1:10" x14ac:dyDescent="0.25">
      <c r="A433" t="s">
        <v>1624</v>
      </c>
      <c r="B433" t="s">
        <v>1625</v>
      </c>
      <c r="C433" t="s">
        <v>1530</v>
      </c>
      <c r="D433" t="str">
        <f>_xlfn.XLOOKUP(ISIC_Rev_5_english_structure__1[[#This Row],[Column4]],INDUSTRYGROUP!$C$2:$C$23,INDUSTRYGROUP!$D$2:$D$23,"NONE")</f>
        <v>NONE</v>
      </c>
      <c r="E433" t="str">
        <f>_xlfn.XLOOKUP(LEFT(A433,2),SECTOR!$A$2:$A$88,SECTOR!$A$2:$A$88,"")</f>
        <v/>
      </c>
      <c r="F433" t="str">
        <f>_xlfn.XLOOKUP(LEFT(A433,2),SECTOR!$A$2:$A$88,SECTOR!$B$2:$B$88,"")</f>
        <v/>
      </c>
      <c r="G433" t="str">
        <f>_xlfn.XLOOKUP(LEFT(A433,3),INDUSTRY!$A$2:$A$259,INDUSTRY!$A$2:$A$259,"")</f>
        <v>477</v>
      </c>
      <c r="H433" t="str">
        <f>_xlfn.XLOOKUP(LEFT(A433,3),INDUSTRY!$A$2:$A$259,INDUSTRY!$B$2:$B$259,"")</f>
        <v>Retail sale of other goods, except motor vehicles and motorcycles</v>
      </c>
      <c r="I433" t="str">
        <f t="shared" si="12"/>
        <v/>
      </c>
      <c r="J433" t="str">
        <f t="shared" si="13"/>
        <v/>
      </c>
    </row>
    <row r="434" spans="1:10" x14ac:dyDescent="0.25">
      <c r="A434" t="s">
        <v>1626</v>
      </c>
      <c r="B434" t="s">
        <v>1627</v>
      </c>
      <c r="C434" t="s">
        <v>1530</v>
      </c>
      <c r="D434" t="str">
        <f>_xlfn.XLOOKUP(ISIC_Rev_5_english_structure__1[[#This Row],[Column4]],INDUSTRYGROUP!$C$2:$C$23,INDUSTRYGROUP!$D$2:$D$23,"NONE")</f>
        <v>NONE</v>
      </c>
      <c r="E434" t="str">
        <f>_xlfn.XLOOKUP(LEFT(A434,2),SECTOR!$A$2:$A$88,SECTOR!$A$2:$A$88,"")</f>
        <v/>
      </c>
      <c r="F434" t="str">
        <f>_xlfn.XLOOKUP(LEFT(A434,2),SECTOR!$A$2:$A$88,SECTOR!$B$2:$B$88,"")</f>
        <v/>
      </c>
      <c r="G434" t="str">
        <f>_xlfn.XLOOKUP(LEFT(A434,3),INDUSTRY!$A$2:$A$259,INDUSTRY!$A$2:$A$259,"")</f>
        <v>477</v>
      </c>
      <c r="H434" t="str">
        <f>_xlfn.XLOOKUP(LEFT(A434,3),INDUSTRY!$A$2:$A$259,INDUSTRY!$B$2:$B$259,"")</f>
        <v>Retail sale of other goods, except motor vehicles and motorcycles</v>
      </c>
      <c r="I434" t="str">
        <f t="shared" si="12"/>
        <v>4771</v>
      </c>
      <c r="J434" t="str">
        <f t="shared" si="13"/>
        <v>Retail sale of clothing, footwear and leather articles</v>
      </c>
    </row>
    <row r="435" spans="1:10" x14ac:dyDescent="0.25">
      <c r="A435" t="s">
        <v>1628</v>
      </c>
      <c r="B435" t="s">
        <v>1629</v>
      </c>
      <c r="C435" t="s">
        <v>1530</v>
      </c>
      <c r="D435" t="str">
        <f>_xlfn.XLOOKUP(ISIC_Rev_5_english_structure__1[[#This Row],[Column4]],INDUSTRYGROUP!$C$2:$C$23,INDUSTRYGROUP!$D$2:$D$23,"NONE")</f>
        <v>NONE</v>
      </c>
      <c r="E435" t="str">
        <f>_xlfn.XLOOKUP(LEFT(A435,2),SECTOR!$A$2:$A$88,SECTOR!$A$2:$A$88,"")</f>
        <v/>
      </c>
      <c r="F435" t="str">
        <f>_xlfn.XLOOKUP(LEFT(A435,2),SECTOR!$A$2:$A$88,SECTOR!$B$2:$B$88,"")</f>
        <v/>
      </c>
      <c r="G435" t="str">
        <f>_xlfn.XLOOKUP(LEFT(A435,3),INDUSTRY!$A$2:$A$259,INDUSTRY!$A$2:$A$259,"")</f>
        <v>477</v>
      </c>
      <c r="H435" t="str">
        <f>_xlfn.XLOOKUP(LEFT(A435,3),INDUSTRY!$A$2:$A$259,INDUSTRY!$B$2:$B$259,"")</f>
        <v>Retail sale of other goods, except motor vehicles and motorcycles</v>
      </c>
      <c r="I435" t="str">
        <f t="shared" si="12"/>
        <v>4772</v>
      </c>
      <c r="J435" t="str">
        <f t="shared" si="13"/>
        <v>Retail sale of pharmaceutical and medical goods, cosmetic and toilet articles</v>
      </c>
    </row>
    <row r="436" spans="1:10" x14ac:dyDescent="0.25">
      <c r="A436" t="s">
        <v>1630</v>
      </c>
      <c r="B436" t="s">
        <v>1631</v>
      </c>
      <c r="C436" t="s">
        <v>1530</v>
      </c>
      <c r="D436" t="str">
        <f>_xlfn.XLOOKUP(ISIC_Rev_5_english_structure__1[[#This Row],[Column4]],INDUSTRYGROUP!$C$2:$C$23,INDUSTRYGROUP!$D$2:$D$23,"NONE")</f>
        <v>NONE</v>
      </c>
      <c r="E436" t="str">
        <f>_xlfn.XLOOKUP(LEFT(A436,2),SECTOR!$A$2:$A$88,SECTOR!$A$2:$A$88,"")</f>
        <v/>
      </c>
      <c r="F436" t="str">
        <f>_xlfn.XLOOKUP(LEFT(A436,2),SECTOR!$A$2:$A$88,SECTOR!$B$2:$B$88,"")</f>
        <v/>
      </c>
      <c r="G436" t="str">
        <f>_xlfn.XLOOKUP(LEFT(A436,3),INDUSTRY!$A$2:$A$259,INDUSTRY!$A$2:$A$259,"")</f>
        <v>477</v>
      </c>
      <c r="H436" t="str">
        <f>_xlfn.XLOOKUP(LEFT(A436,3),INDUSTRY!$A$2:$A$259,INDUSTRY!$B$2:$B$259,"")</f>
        <v>Retail sale of other goods, except motor vehicles and motorcycles</v>
      </c>
      <c r="I436" t="str">
        <f t="shared" si="12"/>
        <v>4773</v>
      </c>
      <c r="J436" t="str">
        <f t="shared" si="13"/>
        <v>Retail sale of other new goods n.e.c.</v>
      </c>
    </row>
    <row r="437" spans="1:10" x14ac:dyDescent="0.25">
      <c r="A437" t="s">
        <v>1632</v>
      </c>
      <c r="B437" t="s">
        <v>1633</v>
      </c>
      <c r="C437" t="s">
        <v>1530</v>
      </c>
      <c r="D437" t="str">
        <f>_xlfn.XLOOKUP(ISIC_Rev_5_english_structure__1[[#This Row],[Column4]],INDUSTRYGROUP!$C$2:$C$23,INDUSTRYGROUP!$D$2:$D$23,"NONE")</f>
        <v>NONE</v>
      </c>
      <c r="E437" t="str">
        <f>_xlfn.XLOOKUP(LEFT(A437,2),SECTOR!$A$2:$A$88,SECTOR!$A$2:$A$88,"")</f>
        <v/>
      </c>
      <c r="F437" t="str">
        <f>_xlfn.XLOOKUP(LEFT(A437,2),SECTOR!$A$2:$A$88,SECTOR!$B$2:$B$88,"")</f>
        <v/>
      </c>
      <c r="G437" t="str">
        <f>_xlfn.XLOOKUP(LEFT(A437,3),INDUSTRY!$A$2:$A$259,INDUSTRY!$A$2:$A$259,"")</f>
        <v>477</v>
      </c>
      <c r="H437" t="str">
        <f>_xlfn.XLOOKUP(LEFT(A437,3),INDUSTRY!$A$2:$A$259,INDUSTRY!$B$2:$B$259,"")</f>
        <v>Retail sale of other goods, except motor vehicles and motorcycles</v>
      </c>
      <c r="I437" t="str">
        <f t="shared" si="12"/>
        <v>4774</v>
      </c>
      <c r="J437" t="str">
        <f t="shared" si="13"/>
        <v>Retail sale of second-hand goods</v>
      </c>
    </row>
    <row r="438" spans="1:10" x14ac:dyDescent="0.25">
      <c r="A438" t="s">
        <v>1634</v>
      </c>
      <c r="B438" t="s">
        <v>1635</v>
      </c>
      <c r="C438" t="s">
        <v>1530</v>
      </c>
      <c r="D438" t="str">
        <f>_xlfn.XLOOKUP(ISIC_Rev_5_english_structure__1[[#This Row],[Column4]],INDUSTRYGROUP!$C$2:$C$23,INDUSTRYGROUP!$D$2:$D$23,"NONE")</f>
        <v>NONE</v>
      </c>
      <c r="E438" t="str">
        <f>_xlfn.XLOOKUP(LEFT(A438,2),SECTOR!$A$2:$A$88,SECTOR!$A$2:$A$88,"")</f>
        <v/>
      </c>
      <c r="F438" t="str">
        <f>_xlfn.XLOOKUP(LEFT(A438,2),SECTOR!$A$2:$A$88,SECTOR!$B$2:$B$88,"")</f>
        <v/>
      </c>
      <c r="G438" t="str">
        <f>_xlfn.XLOOKUP(LEFT(A438,3),INDUSTRY!$A$2:$A$259,INDUSTRY!$A$2:$A$259,"")</f>
        <v>478</v>
      </c>
      <c r="H438" t="str">
        <f>_xlfn.XLOOKUP(LEFT(A438,3),INDUSTRY!$A$2:$A$259,INDUSTRY!$B$2:$B$259,"")</f>
        <v>Retail sale of motor vehicles, motorcycles and related parts and accessories</v>
      </c>
      <c r="I438" t="str">
        <f t="shared" si="12"/>
        <v/>
      </c>
      <c r="J438" t="str">
        <f t="shared" si="13"/>
        <v/>
      </c>
    </row>
    <row r="439" spans="1:10" x14ac:dyDescent="0.25">
      <c r="A439" t="s">
        <v>1636</v>
      </c>
      <c r="B439" t="s">
        <v>1637</v>
      </c>
      <c r="C439" t="s">
        <v>1530</v>
      </c>
      <c r="D439" t="str">
        <f>_xlfn.XLOOKUP(ISIC_Rev_5_english_structure__1[[#This Row],[Column4]],INDUSTRYGROUP!$C$2:$C$23,INDUSTRYGROUP!$D$2:$D$23,"NONE")</f>
        <v>NONE</v>
      </c>
      <c r="E439" t="str">
        <f>_xlfn.XLOOKUP(LEFT(A439,2),SECTOR!$A$2:$A$88,SECTOR!$A$2:$A$88,"")</f>
        <v/>
      </c>
      <c r="F439" t="str">
        <f>_xlfn.XLOOKUP(LEFT(A439,2),SECTOR!$A$2:$A$88,SECTOR!$B$2:$B$88,"")</f>
        <v/>
      </c>
      <c r="G439" t="str">
        <f>_xlfn.XLOOKUP(LEFT(A439,3),INDUSTRY!$A$2:$A$259,INDUSTRY!$A$2:$A$259,"")</f>
        <v>478</v>
      </c>
      <c r="H439" t="str">
        <f>_xlfn.XLOOKUP(LEFT(A439,3),INDUSTRY!$A$2:$A$259,INDUSTRY!$B$2:$B$259,"")</f>
        <v>Retail sale of motor vehicles, motorcycles and related parts and accessories</v>
      </c>
      <c r="I439" t="str">
        <f t="shared" si="12"/>
        <v>4781</v>
      </c>
      <c r="J439" t="str">
        <f t="shared" si="13"/>
        <v>Retail sale of motor vehicles</v>
      </c>
    </row>
    <row r="440" spans="1:10" x14ac:dyDescent="0.25">
      <c r="A440" t="s">
        <v>1638</v>
      </c>
      <c r="B440" t="s">
        <v>1639</v>
      </c>
      <c r="C440" t="s">
        <v>1530</v>
      </c>
      <c r="D440" t="str">
        <f>_xlfn.XLOOKUP(ISIC_Rev_5_english_structure__1[[#This Row],[Column4]],INDUSTRYGROUP!$C$2:$C$23,INDUSTRYGROUP!$D$2:$D$23,"NONE")</f>
        <v>NONE</v>
      </c>
      <c r="E440" t="str">
        <f>_xlfn.XLOOKUP(LEFT(A440,2),SECTOR!$A$2:$A$88,SECTOR!$A$2:$A$88,"")</f>
        <v/>
      </c>
      <c r="F440" t="str">
        <f>_xlfn.XLOOKUP(LEFT(A440,2),SECTOR!$A$2:$A$88,SECTOR!$B$2:$B$88,"")</f>
        <v/>
      </c>
      <c r="G440" t="str">
        <f>_xlfn.XLOOKUP(LEFT(A440,3),INDUSTRY!$A$2:$A$259,INDUSTRY!$A$2:$A$259,"")</f>
        <v>478</v>
      </c>
      <c r="H440" t="str">
        <f>_xlfn.XLOOKUP(LEFT(A440,3),INDUSTRY!$A$2:$A$259,INDUSTRY!$B$2:$B$259,"")</f>
        <v>Retail sale of motor vehicles, motorcycles and related parts and accessories</v>
      </c>
      <c r="I440" t="str">
        <f t="shared" si="12"/>
        <v>4782</v>
      </c>
      <c r="J440" t="str">
        <f t="shared" si="13"/>
        <v>Retail sale of motor vehicle parts and accessories</v>
      </c>
    </row>
    <row r="441" spans="1:10" x14ac:dyDescent="0.25">
      <c r="A441" t="s">
        <v>1640</v>
      </c>
      <c r="B441" t="s">
        <v>1641</v>
      </c>
      <c r="C441" t="s">
        <v>1530</v>
      </c>
      <c r="D441" t="str">
        <f>_xlfn.XLOOKUP(ISIC_Rev_5_english_structure__1[[#This Row],[Column4]],INDUSTRYGROUP!$C$2:$C$23,INDUSTRYGROUP!$D$2:$D$23,"NONE")</f>
        <v>NONE</v>
      </c>
      <c r="E441" t="str">
        <f>_xlfn.XLOOKUP(LEFT(A441,2),SECTOR!$A$2:$A$88,SECTOR!$A$2:$A$88,"")</f>
        <v/>
      </c>
      <c r="F441" t="str">
        <f>_xlfn.XLOOKUP(LEFT(A441,2),SECTOR!$A$2:$A$88,SECTOR!$B$2:$B$88,"")</f>
        <v/>
      </c>
      <c r="G441" t="str">
        <f>_xlfn.XLOOKUP(LEFT(A441,3),INDUSTRY!$A$2:$A$259,INDUSTRY!$A$2:$A$259,"")</f>
        <v>478</v>
      </c>
      <c r="H441" t="str">
        <f>_xlfn.XLOOKUP(LEFT(A441,3),INDUSTRY!$A$2:$A$259,INDUSTRY!$B$2:$B$259,"")</f>
        <v>Retail sale of motor vehicles, motorcycles and related parts and accessories</v>
      </c>
      <c r="I441" t="str">
        <f t="shared" si="12"/>
        <v>4783</v>
      </c>
      <c r="J441" t="str">
        <f t="shared" si="13"/>
        <v>Retail sale of motorcycles, motorcycles parts and accessories</v>
      </c>
    </row>
    <row r="442" spans="1:10" x14ac:dyDescent="0.25">
      <c r="A442" t="s">
        <v>1642</v>
      </c>
      <c r="B442" t="s">
        <v>1643</v>
      </c>
      <c r="C442" t="s">
        <v>1530</v>
      </c>
      <c r="D442" t="str">
        <f>_xlfn.XLOOKUP(ISIC_Rev_5_english_structure__1[[#This Row],[Column4]],INDUSTRYGROUP!$C$2:$C$23,INDUSTRYGROUP!$D$2:$D$23,"NONE")</f>
        <v>NONE</v>
      </c>
      <c r="E442" t="str">
        <f>_xlfn.XLOOKUP(LEFT(A442,2),SECTOR!$A$2:$A$88,SECTOR!$A$2:$A$88,"")</f>
        <v/>
      </c>
      <c r="F442" t="str">
        <f>_xlfn.XLOOKUP(LEFT(A442,2),SECTOR!$A$2:$A$88,SECTOR!$B$2:$B$88,"")</f>
        <v/>
      </c>
      <c r="G442" t="str">
        <f>_xlfn.XLOOKUP(LEFT(A442,3),INDUSTRY!$A$2:$A$259,INDUSTRY!$A$2:$A$259,"")</f>
        <v>479</v>
      </c>
      <c r="H442" t="str">
        <f>_xlfn.XLOOKUP(LEFT(A442,3),INDUSTRY!$A$2:$A$259,INDUSTRY!$B$2:$B$259,"")</f>
        <v>Intermediation service activities for retail sale</v>
      </c>
      <c r="I442" t="str">
        <f t="shared" si="12"/>
        <v/>
      </c>
      <c r="J442" t="str">
        <f t="shared" si="13"/>
        <v/>
      </c>
    </row>
    <row r="443" spans="1:10" x14ac:dyDescent="0.25">
      <c r="A443" t="s">
        <v>1644</v>
      </c>
      <c r="B443" t="s">
        <v>1643</v>
      </c>
      <c r="C443" t="s">
        <v>1530</v>
      </c>
      <c r="D443" t="str">
        <f>_xlfn.XLOOKUP(ISIC_Rev_5_english_structure__1[[#This Row],[Column4]],INDUSTRYGROUP!$C$2:$C$23,INDUSTRYGROUP!$D$2:$D$23,"NONE")</f>
        <v>NONE</v>
      </c>
      <c r="E443" t="str">
        <f>_xlfn.XLOOKUP(LEFT(A443,2),SECTOR!$A$2:$A$88,SECTOR!$A$2:$A$88,"")</f>
        <v/>
      </c>
      <c r="F443" t="str">
        <f>_xlfn.XLOOKUP(LEFT(A443,2),SECTOR!$A$2:$A$88,SECTOR!$B$2:$B$88,"")</f>
        <v/>
      </c>
      <c r="G443" t="str">
        <f>_xlfn.XLOOKUP(LEFT(A443,3),INDUSTRY!$A$2:$A$259,INDUSTRY!$A$2:$A$259,"")</f>
        <v>479</v>
      </c>
      <c r="H443" t="str">
        <f>_xlfn.XLOOKUP(LEFT(A443,3),INDUSTRY!$A$2:$A$259,INDUSTRY!$B$2:$B$259,"")</f>
        <v>Intermediation service activities for retail sale</v>
      </c>
      <c r="I443" t="str">
        <f t="shared" si="12"/>
        <v>4790</v>
      </c>
      <c r="J443" t="str">
        <f t="shared" si="13"/>
        <v>Intermediation service activities for retail sale</v>
      </c>
    </row>
    <row r="444" spans="1:10" x14ac:dyDescent="0.25">
      <c r="A444" t="s">
        <v>1645</v>
      </c>
      <c r="B444" t="s">
        <v>1646</v>
      </c>
      <c r="C444" t="s">
        <v>1645</v>
      </c>
      <c r="D444" t="str">
        <f>_xlfn.XLOOKUP(ISIC_Rev_5_english_structure__1[[#This Row],[Column4]],INDUSTRYGROUP!$C$2:$C$23,INDUSTRYGROUP!$D$2:$D$23,"NONE")</f>
        <v>NONE</v>
      </c>
      <c r="E444" t="str">
        <f>_xlfn.XLOOKUP(LEFT(A444,2),SECTOR!$A$2:$A$88,SECTOR!$A$2:$A$88,"")</f>
        <v>H</v>
      </c>
      <c r="F444" t="str">
        <f>_xlfn.XLOOKUP(LEFT(A444,2),SECTOR!$A$2:$A$88,SECTOR!$B$2:$B$88,"")</f>
        <v>Transportation and storage</v>
      </c>
      <c r="G444" t="str">
        <f>_xlfn.XLOOKUP(LEFT(A444,3),INDUSTRY!$A$2:$A$259,INDUSTRY!$A$2:$A$259,"")</f>
        <v/>
      </c>
      <c r="H444" t="str">
        <f>_xlfn.XLOOKUP(LEFT(A444,3),INDUSTRY!$A$2:$A$259,INDUSTRY!$B$2:$B$259,"")</f>
        <v/>
      </c>
      <c r="I444" t="str">
        <f t="shared" si="12"/>
        <v/>
      </c>
      <c r="J444" t="str">
        <f t="shared" si="13"/>
        <v/>
      </c>
    </row>
    <row r="445" spans="1:10" x14ac:dyDescent="0.25">
      <c r="A445" t="s">
        <v>1647</v>
      </c>
      <c r="B445" t="s">
        <v>1648</v>
      </c>
      <c r="C445" t="s">
        <v>1645</v>
      </c>
      <c r="D445" t="str">
        <f>_xlfn.XLOOKUP(ISIC_Rev_5_english_structure__1[[#This Row],[Column4]],INDUSTRYGROUP!$C$2:$C$23,INDUSTRYGROUP!$D$2:$D$23,"NONE")</f>
        <v>NONE</v>
      </c>
      <c r="E445" t="str">
        <f>_xlfn.XLOOKUP(LEFT(A445,2),SECTOR!$A$2:$A$88,SECTOR!$A$2:$A$88,"")</f>
        <v/>
      </c>
      <c r="F445" t="str">
        <f>_xlfn.XLOOKUP(LEFT(A445,2),SECTOR!$A$2:$A$88,SECTOR!$B$2:$B$88,"")</f>
        <v/>
      </c>
      <c r="G445" t="str">
        <f>_xlfn.XLOOKUP(LEFT(A445,3),INDUSTRY!$A$2:$A$259,INDUSTRY!$A$2:$A$259,"")</f>
        <v/>
      </c>
      <c r="H445" t="str">
        <f>_xlfn.XLOOKUP(LEFT(A445,3),INDUSTRY!$A$2:$A$259,INDUSTRY!$B$2:$B$259,"")</f>
        <v/>
      </c>
      <c r="I445" t="str">
        <f t="shared" si="12"/>
        <v/>
      </c>
      <c r="J445" t="str">
        <f t="shared" si="13"/>
        <v/>
      </c>
    </row>
    <row r="446" spans="1:10" x14ac:dyDescent="0.25">
      <c r="A446" t="s">
        <v>1649</v>
      </c>
      <c r="B446" t="s">
        <v>1650</v>
      </c>
      <c r="C446" t="s">
        <v>1645</v>
      </c>
      <c r="D446" t="str">
        <f>_xlfn.XLOOKUP(ISIC_Rev_5_english_structure__1[[#This Row],[Column4]],INDUSTRYGROUP!$C$2:$C$23,INDUSTRYGROUP!$D$2:$D$23,"NONE")</f>
        <v>NONE</v>
      </c>
      <c r="E446" t="str">
        <f>_xlfn.XLOOKUP(LEFT(A446,2),SECTOR!$A$2:$A$88,SECTOR!$A$2:$A$88,"")</f>
        <v/>
      </c>
      <c r="F446" t="str">
        <f>_xlfn.XLOOKUP(LEFT(A446,2),SECTOR!$A$2:$A$88,SECTOR!$B$2:$B$88,"")</f>
        <v/>
      </c>
      <c r="G446" t="str">
        <f>_xlfn.XLOOKUP(LEFT(A446,3),INDUSTRY!$A$2:$A$259,INDUSTRY!$A$2:$A$259,"")</f>
        <v>491</v>
      </c>
      <c r="H446" t="str">
        <f>_xlfn.XLOOKUP(LEFT(A446,3),INDUSTRY!$A$2:$A$259,INDUSTRY!$B$2:$B$259,"")</f>
        <v>Transport via railways</v>
      </c>
      <c r="I446" t="str">
        <f t="shared" si="12"/>
        <v/>
      </c>
      <c r="J446" t="str">
        <f t="shared" si="13"/>
        <v/>
      </c>
    </row>
    <row r="447" spans="1:10" x14ac:dyDescent="0.25">
      <c r="A447" t="s">
        <v>1651</v>
      </c>
      <c r="B447" t="s">
        <v>1652</v>
      </c>
      <c r="C447" t="s">
        <v>1645</v>
      </c>
      <c r="D447" t="str">
        <f>_xlfn.XLOOKUP(ISIC_Rev_5_english_structure__1[[#This Row],[Column4]],INDUSTRYGROUP!$C$2:$C$23,INDUSTRYGROUP!$D$2:$D$23,"NONE")</f>
        <v>NONE</v>
      </c>
      <c r="E447" t="str">
        <f>_xlfn.XLOOKUP(LEFT(A447,2),SECTOR!$A$2:$A$88,SECTOR!$A$2:$A$88,"")</f>
        <v/>
      </c>
      <c r="F447" t="str">
        <f>_xlfn.XLOOKUP(LEFT(A447,2),SECTOR!$A$2:$A$88,SECTOR!$B$2:$B$88,"")</f>
        <v/>
      </c>
      <c r="G447" t="str">
        <f>_xlfn.XLOOKUP(LEFT(A447,3),INDUSTRY!$A$2:$A$259,INDUSTRY!$A$2:$A$259,"")</f>
        <v>491</v>
      </c>
      <c r="H447" t="str">
        <f>_xlfn.XLOOKUP(LEFT(A447,3),INDUSTRY!$A$2:$A$259,INDUSTRY!$B$2:$B$259,"")</f>
        <v>Transport via railways</v>
      </c>
      <c r="I447" t="str">
        <f t="shared" si="12"/>
        <v>4911</v>
      </c>
      <c r="J447" t="str">
        <f t="shared" si="13"/>
        <v>Passenger rail transport, interurban</v>
      </c>
    </row>
    <row r="448" spans="1:10" x14ac:dyDescent="0.25">
      <c r="A448" t="s">
        <v>1653</v>
      </c>
      <c r="B448" t="s">
        <v>1654</v>
      </c>
      <c r="C448" t="s">
        <v>1645</v>
      </c>
      <c r="D448" t="str">
        <f>_xlfn.XLOOKUP(ISIC_Rev_5_english_structure__1[[#This Row],[Column4]],INDUSTRYGROUP!$C$2:$C$23,INDUSTRYGROUP!$D$2:$D$23,"NONE")</f>
        <v>NONE</v>
      </c>
      <c r="E448" t="str">
        <f>_xlfn.XLOOKUP(LEFT(A448,2),SECTOR!$A$2:$A$88,SECTOR!$A$2:$A$88,"")</f>
        <v/>
      </c>
      <c r="F448" t="str">
        <f>_xlfn.XLOOKUP(LEFT(A448,2),SECTOR!$A$2:$A$88,SECTOR!$B$2:$B$88,"")</f>
        <v/>
      </c>
      <c r="G448" t="str">
        <f>_xlfn.XLOOKUP(LEFT(A448,3),INDUSTRY!$A$2:$A$259,INDUSTRY!$A$2:$A$259,"")</f>
        <v>491</v>
      </c>
      <c r="H448" t="str">
        <f>_xlfn.XLOOKUP(LEFT(A448,3),INDUSTRY!$A$2:$A$259,INDUSTRY!$B$2:$B$259,"")</f>
        <v>Transport via railways</v>
      </c>
      <c r="I448" t="str">
        <f t="shared" si="12"/>
        <v>4912</v>
      </c>
      <c r="J448" t="str">
        <f t="shared" si="13"/>
        <v>Freight rail transport</v>
      </c>
    </row>
    <row r="449" spans="1:10" x14ac:dyDescent="0.25">
      <c r="A449" t="s">
        <v>1655</v>
      </c>
      <c r="B449" t="s">
        <v>1656</v>
      </c>
      <c r="C449" t="s">
        <v>1645</v>
      </c>
      <c r="D449" t="str">
        <f>_xlfn.XLOOKUP(ISIC_Rev_5_english_structure__1[[#This Row],[Column4]],INDUSTRYGROUP!$C$2:$C$23,INDUSTRYGROUP!$D$2:$D$23,"NONE")</f>
        <v>NONE</v>
      </c>
      <c r="E449" t="str">
        <f>_xlfn.XLOOKUP(LEFT(A449,2),SECTOR!$A$2:$A$88,SECTOR!$A$2:$A$88,"")</f>
        <v/>
      </c>
      <c r="F449" t="str">
        <f>_xlfn.XLOOKUP(LEFT(A449,2),SECTOR!$A$2:$A$88,SECTOR!$B$2:$B$88,"")</f>
        <v/>
      </c>
      <c r="G449" t="str">
        <f>_xlfn.XLOOKUP(LEFT(A449,3),INDUSTRY!$A$2:$A$259,INDUSTRY!$A$2:$A$259,"")</f>
        <v>492</v>
      </c>
      <c r="H449" t="str">
        <f>_xlfn.XLOOKUP(LEFT(A449,3),INDUSTRY!$A$2:$A$259,INDUSTRY!$B$2:$B$259,"")</f>
        <v>Other land transport</v>
      </c>
      <c r="I449" t="str">
        <f t="shared" si="12"/>
        <v/>
      </c>
      <c r="J449" t="str">
        <f t="shared" si="13"/>
        <v/>
      </c>
    </row>
    <row r="450" spans="1:10" x14ac:dyDescent="0.25">
      <c r="A450" t="s">
        <v>1657</v>
      </c>
      <c r="B450" t="s">
        <v>1658</v>
      </c>
      <c r="C450" t="s">
        <v>1645</v>
      </c>
      <c r="D450" t="str">
        <f>_xlfn.XLOOKUP(ISIC_Rev_5_english_structure__1[[#This Row],[Column4]],INDUSTRYGROUP!$C$2:$C$23,INDUSTRYGROUP!$D$2:$D$23,"NONE")</f>
        <v>NONE</v>
      </c>
      <c r="E450" t="str">
        <f>_xlfn.XLOOKUP(LEFT(A450,2),SECTOR!$A$2:$A$88,SECTOR!$A$2:$A$88,"")</f>
        <v/>
      </c>
      <c r="F450" t="str">
        <f>_xlfn.XLOOKUP(LEFT(A450,2),SECTOR!$A$2:$A$88,SECTOR!$B$2:$B$88,"")</f>
        <v/>
      </c>
      <c r="G450" t="str">
        <f>_xlfn.XLOOKUP(LEFT(A450,3),INDUSTRY!$A$2:$A$259,INDUSTRY!$A$2:$A$259,"")</f>
        <v>492</v>
      </c>
      <c r="H450" t="str">
        <f>_xlfn.XLOOKUP(LEFT(A450,3),INDUSTRY!$A$2:$A$259,INDUSTRY!$B$2:$B$259,"")</f>
        <v>Other land transport</v>
      </c>
      <c r="I450" t="str">
        <f t="shared" ref="I450:I513" si="14">IF(LEN(A450)=4,A450,"")</f>
        <v>4921</v>
      </c>
      <c r="J450" t="str">
        <f t="shared" ref="J450:J513" si="15">IF(LEN(A450)=4,B450,"")</f>
        <v>Urban and suburban passenger land transport</v>
      </c>
    </row>
    <row r="451" spans="1:10" x14ac:dyDescent="0.25">
      <c r="A451" t="s">
        <v>1659</v>
      </c>
      <c r="B451" t="s">
        <v>1660</v>
      </c>
      <c r="C451" t="s">
        <v>1645</v>
      </c>
      <c r="D451" t="str">
        <f>_xlfn.XLOOKUP(ISIC_Rev_5_english_structure__1[[#This Row],[Column4]],INDUSTRYGROUP!$C$2:$C$23,INDUSTRYGROUP!$D$2:$D$23,"NONE")</f>
        <v>NONE</v>
      </c>
      <c r="E451" t="str">
        <f>_xlfn.XLOOKUP(LEFT(A451,2),SECTOR!$A$2:$A$88,SECTOR!$A$2:$A$88,"")</f>
        <v/>
      </c>
      <c r="F451" t="str">
        <f>_xlfn.XLOOKUP(LEFT(A451,2),SECTOR!$A$2:$A$88,SECTOR!$B$2:$B$88,"")</f>
        <v/>
      </c>
      <c r="G451" t="str">
        <f>_xlfn.XLOOKUP(LEFT(A451,3),INDUSTRY!$A$2:$A$259,INDUSTRY!$A$2:$A$259,"")</f>
        <v>492</v>
      </c>
      <c r="H451" t="str">
        <f>_xlfn.XLOOKUP(LEFT(A451,3),INDUSTRY!$A$2:$A$259,INDUSTRY!$B$2:$B$259,"")</f>
        <v>Other land transport</v>
      </c>
      <c r="I451" t="str">
        <f t="shared" si="14"/>
        <v>4922</v>
      </c>
      <c r="J451" t="str">
        <f t="shared" si="15"/>
        <v>Other passenger land transport</v>
      </c>
    </row>
    <row r="452" spans="1:10" x14ac:dyDescent="0.25">
      <c r="A452" t="s">
        <v>1661</v>
      </c>
      <c r="B452" t="s">
        <v>1662</v>
      </c>
      <c r="C452" t="s">
        <v>1645</v>
      </c>
      <c r="D452" t="str">
        <f>_xlfn.XLOOKUP(ISIC_Rev_5_english_structure__1[[#This Row],[Column4]],INDUSTRYGROUP!$C$2:$C$23,INDUSTRYGROUP!$D$2:$D$23,"NONE")</f>
        <v>NONE</v>
      </c>
      <c r="E452" t="str">
        <f>_xlfn.XLOOKUP(LEFT(A452,2),SECTOR!$A$2:$A$88,SECTOR!$A$2:$A$88,"")</f>
        <v/>
      </c>
      <c r="F452" t="str">
        <f>_xlfn.XLOOKUP(LEFT(A452,2),SECTOR!$A$2:$A$88,SECTOR!$B$2:$B$88,"")</f>
        <v/>
      </c>
      <c r="G452" t="str">
        <f>_xlfn.XLOOKUP(LEFT(A452,3),INDUSTRY!$A$2:$A$259,INDUSTRY!$A$2:$A$259,"")</f>
        <v>492</v>
      </c>
      <c r="H452" t="str">
        <f>_xlfn.XLOOKUP(LEFT(A452,3),INDUSTRY!$A$2:$A$259,INDUSTRY!$B$2:$B$259,"")</f>
        <v>Other land transport</v>
      </c>
      <c r="I452" t="str">
        <f t="shared" si="14"/>
        <v>4923</v>
      </c>
      <c r="J452" t="str">
        <f t="shared" si="15"/>
        <v>Freight transport by road</v>
      </c>
    </row>
    <row r="453" spans="1:10" x14ac:dyDescent="0.25">
      <c r="A453" t="s">
        <v>1663</v>
      </c>
      <c r="B453" t="s">
        <v>1664</v>
      </c>
      <c r="C453" t="s">
        <v>1645</v>
      </c>
      <c r="D453" t="str">
        <f>_xlfn.XLOOKUP(ISIC_Rev_5_english_structure__1[[#This Row],[Column4]],INDUSTRYGROUP!$C$2:$C$23,INDUSTRYGROUP!$D$2:$D$23,"NONE")</f>
        <v>NONE</v>
      </c>
      <c r="E453" t="str">
        <f>_xlfn.XLOOKUP(LEFT(A453,2),SECTOR!$A$2:$A$88,SECTOR!$A$2:$A$88,"")</f>
        <v/>
      </c>
      <c r="F453" t="str">
        <f>_xlfn.XLOOKUP(LEFT(A453,2),SECTOR!$A$2:$A$88,SECTOR!$B$2:$B$88,"")</f>
        <v/>
      </c>
      <c r="G453" t="str">
        <f>_xlfn.XLOOKUP(LEFT(A453,3),INDUSTRY!$A$2:$A$259,INDUSTRY!$A$2:$A$259,"")</f>
        <v>493</v>
      </c>
      <c r="H453" t="str">
        <f>_xlfn.XLOOKUP(LEFT(A453,3),INDUSTRY!$A$2:$A$259,INDUSTRY!$B$2:$B$259,"")</f>
        <v>Transport via pipeline</v>
      </c>
      <c r="I453" t="str">
        <f t="shared" si="14"/>
        <v/>
      </c>
      <c r="J453" t="str">
        <f t="shared" si="15"/>
        <v/>
      </c>
    </row>
    <row r="454" spans="1:10" x14ac:dyDescent="0.25">
      <c r="A454" t="s">
        <v>1665</v>
      </c>
      <c r="B454" t="s">
        <v>1664</v>
      </c>
      <c r="C454" t="s">
        <v>1645</v>
      </c>
      <c r="D454" t="str">
        <f>_xlfn.XLOOKUP(ISIC_Rev_5_english_structure__1[[#This Row],[Column4]],INDUSTRYGROUP!$C$2:$C$23,INDUSTRYGROUP!$D$2:$D$23,"NONE")</f>
        <v>NONE</v>
      </c>
      <c r="E454" t="str">
        <f>_xlfn.XLOOKUP(LEFT(A454,2),SECTOR!$A$2:$A$88,SECTOR!$A$2:$A$88,"")</f>
        <v/>
      </c>
      <c r="F454" t="str">
        <f>_xlfn.XLOOKUP(LEFT(A454,2),SECTOR!$A$2:$A$88,SECTOR!$B$2:$B$88,"")</f>
        <v/>
      </c>
      <c r="G454" t="str">
        <f>_xlfn.XLOOKUP(LEFT(A454,3),INDUSTRY!$A$2:$A$259,INDUSTRY!$A$2:$A$259,"")</f>
        <v>493</v>
      </c>
      <c r="H454" t="str">
        <f>_xlfn.XLOOKUP(LEFT(A454,3),INDUSTRY!$A$2:$A$259,INDUSTRY!$B$2:$B$259,"")</f>
        <v>Transport via pipeline</v>
      </c>
      <c r="I454" t="str">
        <f t="shared" si="14"/>
        <v>4930</v>
      </c>
      <c r="J454" t="str">
        <f t="shared" si="15"/>
        <v>Transport via pipeline</v>
      </c>
    </row>
    <row r="455" spans="1:10" x14ac:dyDescent="0.25">
      <c r="A455" t="s">
        <v>1666</v>
      </c>
      <c r="B455" t="s">
        <v>1667</v>
      </c>
      <c r="C455" t="s">
        <v>1645</v>
      </c>
      <c r="D455" t="str">
        <f>_xlfn.XLOOKUP(ISIC_Rev_5_english_structure__1[[#This Row],[Column4]],INDUSTRYGROUP!$C$2:$C$23,INDUSTRYGROUP!$D$2:$D$23,"NONE")</f>
        <v>NONE</v>
      </c>
      <c r="E455" t="str">
        <f>_xlfn.XLOOKUP(LEFT(A455,2),SECTOR!$A$2:$A$88,SECTOR!$A$2:$A$88,"")</f>
        <v/>
      </c>
      <c r="F455" t="str">
        <f>_xlfn.XLOOKUP(LEFT(A455,2),SECTOR!$A$2:$A$88,SECTOR!$B$2:$B$88,"")</f>
        <v/>
      </c>
      <c r="G455" t="str">
        <f>_xlfn.XLOOKUP(LEFT(A455,3),INDUSTRY!$A$2:$A$259,INDUSTRY!$A$2:$A$259,"")</f>
        <v/>
      </c>
      <c r="H455" t="str">
        <f>_xlfn.XLOOKUP(LEFT(A455,3),INDUSTRY!$A$2:$A$259,INDUSTRY!$B$2:$B$259,"")</f>
        <v/>
      </c>
      <c r="I455" t="str">
        <f t="shared" si="14"/>
        <v/>
      </c>
      <c r="J455" t="str">
        <f t="shared" si="15"/>
        <v/>
      </c>
    </row>
    <row r="456" spans="1:10" x14ac:dyDescent="0.25">
      <c r="A456" t="s">
        <v>1668</v>
      </c>
      <c r="B456" t="s">
        <v>1669</v>
      </c>
      <c r="C456" t="s">
        <v>1645</v>
      </c>
      <c r="D456" t="str">
        <f>_xlfn.XLOOKUP(ISIC_Rev_5_english_structure__1[[#This Row],[Column4]],INDUSTRYGROUP!$C$2:$C$23,INDUSTRYGROUP!$D$2:$D$23,"NONE")</f>
        <v>NONE</v>
      </c>
      <c r="E456" t="str">
        <f>_xlfn.XLOOKUP(LEFT(A456,2),SECTOR!$A$2:$A$88,SECTOR!$A$2:$A$88,"")</f>
        <v/>
      </c>
      <c r="F456" t="str">
        <f>_xlfn.XLOOKUP(LEFT(A456,2),SECTOR!$A$2:$A$88,SECTOR!$B$2:$B$88,"")</f>
        <v/>
      </c>
      <c r="G456" t="str">
        <f>_xlfn.XLOOKUP(LEFT(A456,3),INDUSTRY!$A$2:$A$259,INDUSTRY!$A$2:$A$259,"")</f>
        <v>501</v>
      </c>
      <c r="H456" t="str">
        <f>_xlfn.XLOOKUP(LEFT(A456,3),INDUSTRY!$A$2:$A$259,INDUSTRY!$B$2:$B$259,"")</f>
        <v>Sea and coastal water transport</v>
      </c>
      <c r="I456" t="str">
        <f t="shared" si="14"/>
        <v/>
      </c>
      <c r="J456" t="str">
        <f t="shared" si="15"/>
        <v/>
      </c>
    </row>
    <row r="457" spans="1:10" x14ac:dyDescent="0.25">
      <c r="A457" t="s">
        <v>1670</v>
      </c>
      <c r="B457" t="s">
        <v>1671</v>
      </c>
      <c r="C457" t="s">
        <v>1645</v>
      </c>
      <c r="D457" t="str">
        <f>_xlfn.XLOOKUP(ISIC_Rev_5_english_structure__1[[#This Row],[Column4]],INDUSTRYGROUP!$C$2:$C$23,INDUSTRYGROUP!$D$2:$D$23,"NONE")</f>
        <v>NONE</v>
      </c>
      <c r="E457" t="str">
        <f>_xlfn.XLOOKUP(LEFT(A457,2),SECTOR!$A$2:$A$88,SECTOR!$A$2:$A$88,"")</f>
        <v/>
      </c>
      <c r="F457" t="str">
        <f>_xlfn.XLOOKUP(LEFT(A457,2),SECTOR!$A$2:$A$88,SECTOR!$B$2:$B$88,"")</f>
        <v/>
      </c>
      <c r="G457" t="str">
        <f>_xlfn.XLOOKUP(LEFT(A457,3),INDUSTRY!$A$2:$A$259,INDUSTRY!$A$2:$A$259,"")</f>
        <v>501</v>
      </c>
      <c r="H457" t="str">
        <f>_xlfn.XLOOKUP(LEFT(A457,3),INDUSTRY!$A$2:$A$259,INDUSTRY!$B$2:$B$259,"")</f>
        <v>Sea and coastal water transport</v>
      </c>
      <c r="I457" t="str">
        <f t="shared" si="14"/>
        <v>5011</v>
      </c>
      <c r="J457" t="str">
        <f t="shared" si="15"/>
        <v>Sea and coastal passenger water transport</v>
      </c>
    </row>
    <row r="458" spans="1:10" x14ac:dyDescent="0.25">
      <c r="A458" t="s">
        <v>1672</v>
      </c>
      <c r="B458" t="s">
        <v>1673</v>
      </c>
      <c r="C458" t="s">
        <v>1645</v>
      </c>
      <c r="D458" t="str">
        <f>_xlfn.XLOOKUP(ISIC_Rev_5_english_structure__1[[#This Row],[Column4]],INDUSTRYGROUP!$C$2:$C$23,INDUSTRYGROUP!$D$2:$D$23,"NONE")</f>
        <v>NONE</v>
      </c>
      <c r="E458" t="str">
        <f>_xlfn.XLOOKUP(LEFT(A458,2),SECTOR!$A$2:$A$88,SECTOR!$A$2:$A$88,"")</f>
        <v/>
      </c>
      <c r="F458" t="str">
        <f>_xlfn.XLOOKUP(LEFT(A458,2),SECTOR!$A$2:$A$88,SECTOR!$B$2:$B$88,"")</f>
        <v/>
      </c>
      <c r="G458" t="str">
        <f>_xlfn.XLOOKUP(LEFT(A458,3),INDUSTRY!$A$2:$A$259,INDUSTRY!$A$2:$A$259,"")</f>
        <v>501</v>
      </c>
      <c r="H458" t="str">
        <f>_xlfn.XLOOKUP(LEFT(A458,3),INDUSTRY!$A$2:$A$259,INDUSTRY!$B$2:$B$259,"")</f>
        <v>Sea and coastal water transport</v>
      </c>
      <c r="I458" t="str">
        <f t="shared" si="14"/>
        <v>5012</v>
      </c>
      <c r="J458" t="str">
        <f t="shared" si="15"/>
        <v>Sea and coastal freight water transport</v>
      </c>
    </row>
    <row r="459" spans="1:10" x14ac:dyDescent="0.25">
      <c r="A459" t="s">
        <v>1674</v>
      </c>
      <c r="B459" t="s">
        <v>1675</v>
      </c>
      <c r="C459" t="s">
        <v>1645</v>
      </c>
      <c r="D459" t="str">
        <f>_xlfn.XLOOKUP(ISIC_Rev_5_english_structure__1[[#This Row],[Column4]],INDUSTRYGROUP!$C$2:$C$23,INDUSTRYGROUP!$D$2:$D$23,"NONE")</f>
        <v>NONE</v>
      </c>
      <c r="E459" t="str">
        <f>_xlfn.XLOOKUP(LEFT(A459,2),SECTOR!$A$2:$A$88,SECTOR!$A$2:$A$88,"")</f>
        <v/>
      </c>
      <c r="F459" t="str">
        <f>_xlfn.XLOOKUP(LEFT(A459,2),SECTOR!$A$2:$A$88,SECTOR!$B$2:$B$88,"")</f>
        <v/>
      </c>
      <c r="G459" t="str">
        <f>_xlfn.XLOOKUP(LEFT(A459,3),INDUSTRY!$A$2:$A$259,INDUSTRY!$A$2:$A$259,"")</f>
        <v>502</v>
      </c>
      <c r="H459" t="str">
        <f>_xlfn.XLOOKUP(LEFT(A459,3),INDUSTRY!$A$2:$A$259,INDUSTRY!$B$2:$B$259,"")</f>
        <v>Inland water transport</v>
      </c>
      <c r="I459" t="str">
        <f t="shared" si="14"/>
        <v/>
      </c>
      <c r="J459" t="str">
        <f t="shared" si="15"/>
        <v/>
      </c>
    </row>
    <row r="460" spans="1:10" x14ac:dyDescent="0.25">
      <c r="A460" t="s">
        <v>1676</v>
      </c>
      <c r="B460" t="s">
        <v>1677</v>
      </c>
      <c r="C460" t="s">
        <v>1645</v>
      </c>
      <c r="D460" t="str">
        <f>_xlfn.XLOOKUP(ISIC_Rev_5_english_structure__1[[#This Row],[Column4]],INDUSTRYGROUP!$C$2:$C$23,INDUSTRYGROUP!$D$2:$D$23,"NONE")</f>
        <v>NONE</v>
      </c>
      <c r="E460" t="str">
        <f>_xlfn.XLOOKUP(LEFT(A460,2),SECTOR!$A$2:$A$88,SECTOR!$A$2:$A$88,"")</f>
        <v/>
      </c>
      <c r="F460" t="str">
        <f>_xlfn.XLOOKUP(LEFT(A460,2),SECTOR!$A$2:$A$88,SECTOR!$B$2:$B$88,"")</f>
        <v/>
      </c>
      <c r="G460" t="str">
        <f>_xlfn.XLOOKUP(LEFT(A460,3),INDUSTRY!$A$2:$A$259,INDUSTRY!$A$2:$A$259,"")</f>
        <v>502</v>
      </c>
      <c r="H460" t="str">
        <f>_xlfn.XLOOKUP(LEFT(A460,3),INDUSTRY!$A$2:$A$259,INDUSTRY!$B$2:$B$259,"")</f>
        <v>Inland water transport</v>
      </c>
      <c r="I460" t="str">
        <f t="shared" si="14"/>
        <v>5021</v>
      </c>
      <c r="J460" t="str">
        <f t="shared" si="15"/>
        <v>Inland passenger water transport</v>
      </c>
    </row>
    <row r="461" spans="1:10" x14ac:dyDescent="0.25">
      <c r="A461" t="s">
        <v>1678</v>
      </c>
      <c r="B461" t="s">
        <v>1679</v>
      </c>
      <c r="C461" t="s">
        <v>1645</v>
      </c>
      <c r="D461" t="str">
        <f>_xlfn.XLOOKUP(ISIC_Rev_5_english_structure__1[[#This Row],[Column4]],INDUSTRYGROUP!$C$2:$C$23,INDUSTRYGROUP!$D$2:$D$23,"NONE")</f>
        <v>NONE</v>
      </c>
      <c r="E461" t="str">
        <f>_xlfn.XLOOKUP(LEFT(A461,2),SECTOR!$A$2:$A$88,SECTOR!$A$2:$A$88,"")</f>
        <v/>
      </c>
      <c r="F461" t="str">
        <f>_xlfn.XLOOKUP(LEFT(A461,2),SECTOR!$A$2:$A$88,SECTOR!$B$2:$B$88,"")</f>
        <v/>
      </c>
      <c r="G461" t="str">
        <f>_xlfn.XLOOKUP(LEFT(A461,3),INDUSTRY!$A$2:$A$259,INDUSTRY!$A$2:$A$259,"")</f>
        <v>502</v>
      </c>
      <c r="H461" t="str">
        <f>_xlfn.XLOOKUP(LEFT(A461,3),INDUSTRY!$A$2:$A$259,INDUSTRY!$B$2:$B$259,"")</f>
        <v>Inland water transport</v>
      </c>
      <c r="I461" t="str">
        <f t="shared" si="14"/>
        <v>5022</v>
      </c>
      <c r="J461" t="str">
        <f t="shared" si="15"/>
        <v>Inland freight water transport</v>
      </c>
    </row>
    <row r="462" spans="1:10" x14ac:dyDescent="0.25">
      <c r="A462" t="s">
        <v>1680</v>
      </c>
      <c r="B462" t="s">
        <v>1681</v>
      </c>
      <c r="C462" t="s">
        <v>1645</v>
      </c>
      <c r="D462" t="str">
        <f>_xlfn.XLOOKUP(ISIC_Rev_5_english_structure__1[[#This Row],[Column4]],INDUSTRYGROUP!$C$2:$C$23,INDUSTRYGROUP!$D$2:$D$23,"NONE")</f>
        <v>NONE</v>
      </c>
      <c r="E462" t="str">
        <f>_xlfn.XLOOKUP(LEFT(A462,2),SECTOR!$A$2:$A$88,SECTOR!$A$2:$A$88,"")</f>
        <v/>
      </c>
      <c r="F462" t="str">
        <f>_xlfn.XLOOKUP(LEFT(A462,2),SECTOR!$A$2:$A$88,SECTOR!$B$2:$B$88,"")</f>
        <v/>
      </c>
      <c r="G462" t="str">
        <f>_xlfn.XLOOKUP(LEFT(A462,3),INDUSTRY!$A$2:$A$259,INDUSTRY!$A$2:$A$259,"")</f>
        <v/>
      </c>
      <c r="H462" t="str">
        <f>_xlfn.XLOOKUP(LEFT(A462,3),INDUSTRY!$A$2:$A$259,INDUSTRY!$B$2:$B$259,"")</f>
        <v/>
      </c>
      <c r="I462" t="str">
        <f t="shared" si="14"/>
        <v/>
      </c>
      <c r="J462" t="str">
        <f t="shared" si="15"/>
        <v/>
      </c>
    </row>
    <row r="463" spans="1:10" x14ac:dyDescent="0.25">
      <c r="A463" t="s">
        <v>1682</v>
      </c>
      <c r="B463" t="s">
        <v>1683</v>
      </c>
      <c r="C463" t="s">
        <v>1645</v>
      </c>
      <c r="D463" t="str">
        <f>_xlfn.XLOOKUP(ISIC_Rev_5_english_structure__1[[#This Row],[Column4]],INDUSTRYGROUP!$C$2:$C$23,INDUSTRYGROUP!$D$2:$D$23,"NONE")</f>
        <v>NONE</v>
      </c>
      <c r="E463" t="str">
        <f>_xlfn.XLOOKUP(LEFT(A463,2),SECTOR!$A$2:$A$88,SECTOR!$A$2:$A$88,"")</f>
        <v/>
      </c>
      <c r="F463" t="str">
        <f>_xlfn.XLOOKUP(LEFT(A463,2),SECTOR!$A$2:$A$88,SECTOR!$B$2:$B$88,"")</f>
        <v/>
      </c>
      <c r="G463" t="str">
        <f>_xlfn.XLOOKUP(LEFT(A463,3),INDUSTRY!$A$2:$A$259,INDUSTRY!$A$2:$A$259,"")</f>
        <v>511</v>
      </c>
      <c r="H463" t="str">
        <f>_xlfn.XLOOKUP(LEFT(A463,3),INDUSTRY!$A$2:$A$259,INDUSTRY!$B$2:$B$259,"")</f>
        <v>Passenger air transport</v>
      </c>
      <c r="I463" t="str">
        <f t="shared" si="14"/>
        <v/>
      </c>
      <c r="J463" t="str">
        <f t="shared" si="15"/>
        <v/>
      </c>
    </row>
    <row r="464" spans="1:10" x14ac:dyDescent="0.25">
      <c r="A464" t="s">
        <v>1684</v>
      </c>
      <c r="B464" t="s">
        <v>1683</v>
      </c>
      <c r="C464" t="s">
        <v>1645</v>
      </c>
      <c r="D464" t="str">
        <f>_xlfn.XLOOKUP(ISIC_Rev_5_english_structure__1[[#This Row],[Column4]],INDUSTRYGROUP!$C$2:$C$23,INDUSTRYGROUP!$D$2:$D$23,"NONE")</f>
        <v>NONE</v>
      </c>
      <c r="E464" t="str">
        <f>_xlfn.XLOOKUP(LEFT(A464,2),SECTOR!$A$2:$A$88,SECTOR!$A$2:$A$88,"")</f>
        <v/>
      </c>
      <c r="F464" t="str">
        <f>_xlfn.XLOOKUP(LEFT(A464,2),SECTOR!$A$2:$A$88,SECTOR!$B$2:$B$88,"")</f>
        <v/>
      </c>
      <c r="G464" t="str">
        <f>_xlfn.XLOOKUP(LEFT(A464,3),INDUSTRY!$A$2:$A$259,INDUSTRY!$A$2:$A$259,"")</f>
        <v>511</v>
      </c>
      <c r="H464" t="str">
        <f>_xlfn.XLOOKUP(LEFT(A464,3),INDUSTRY!$A$2:$A$259,INDUSTRY!$B$2:$B$259,"")</f>
        <v>Passenger air transport</v>
      </c>
      <c r="I464" t="str">
        <f t="shared" si="14"/>
        <v>5110</v>
      </c>
      <c r="J464" t="str">
        <f t="shared" si="15"/>
        <v>Passenger air transport</v>
      </c>
    </row>
    <row r="465" spans="1:10" x14ac:dyDescent="0.25">
      <c r="A465" t="s">
        <v>1685</v>
      </c>
      <c r="B465" t="s">
        <v>1686</v>
      </c>
      <c r="C465" t="s">
        <v>1645</v>
      </c>
      <c r="D465" t="str">
        <f>_xlfn.XLOOKUP(ISIC_Rev_5_english_structure__1[[#This Row],[Column4]],INDUSTRYGROUP!$C$2:$C$23,INDUSTRYGROUP!$D$2:$D$23,"NONE")</f>
        <v>NONE</v>
      </c>
      <c r="E465" t="str">
        <f>_xlfn.XLOOKUP(LEFT(A465,2),SECTOR!$A$2:$A$88,SECTOR!$A$2:$A$88,"")</f>
        <v/>
      </c>
      <c r="F465" t="str">
        <f>_xlfn.XLOOKUP(LEFT(A465,2),SECTOR!$A$2:$A$88,SECTOR!$B$2:$B$88,"")</f>
        <v/>
      </c>
      <c r="G465" t="str">
        <f>_xlfn.XLOOKUP(LEFT(A465,3),INDUSTRY!$A$2:$A$259,INDUSTRY!$A$2:$A$259,"")</f>
        <v>512</v>
      </c>
      <c r="H465" t="str">
        <f>_xlfn.XLOOKUP(LEFT(A465,3),INDUSTRY!$A$2:$A$259,INDUSTRY!$B$2:$B$259,"")</f>
        <v>Freight air transport</v>
      </c>
      <c r="I465" t="str">
        <f t="shared" si="14"/>
        <v/>
      </c>
      <c r="J465" t="str">
        <f t="shared" si="15"/>
        <v/>
      </c>
    </row>
    <row r="466" spans="1:10" x14ac:dyDescent="0.25">
      <c r="A466" t="s">
        <v>1687</v>
      </c>
      <c r="B466" t="s">
        <v>1686</v>
      </c>
      <c r="C466" t="s">
        <v>1645</v>
      </c>
      <c r="D466" t="str">
        <f>_xlfn.XLOOKUP(ISIC_Rev_5_english_structure__1[[#This Row],[Column4]],INDUSTRYGROUP!$C$2:$C$23,INDUSTRYGROUP!$D$2:$D$23,"NONE")</f>
        <v>NONE</v>
      </c>
      <c r="E466" t="str">
        <f>_xlfn.XLOOKUP(LEFT(A466,2),SECTOR!$A$2:$A$88,SECTOR!$A$2:$A$88,"")</f>
        <v/>
      </c>
      <c r="F466" t="str">
        <f>_xlfn.XLOOKUP(LEFT(A466,2),SECTOR!$A$2:$A$88,SECTOR!$B$2:$B$88,"")</f>
        <v/>
      </c>
      <c r="G466" t="str">
        <f>_xlfn.XLOOKUP(LEFT(A466,3),INDUSTRY!$A$2:$A$259,INDUSTRY!$A$2:$A$259,"")</f>
        <v>512</v>
      </c>
      <c r="H466" t="str">
        <f>_xlfn.XLOOKUP(LEFT(A466,3),INDUSTRY!$A$2:$A$259,INDUSTRY!$B$2:$B$259,"")</f>
        <v>Freight air transport</v>
      </c>
      <c r="I466" t="str">
        <f t="shared" si="14"/>
        <v>5120</v>
      </c>
      <c r="J466" t="str">
        <f t="shared" si="15"/>
        <v>Freight air transport</v>
      </c>
    </row>
    <row r="467" spans="1:10" x14ac:dyDescent="0.25">
      <c r="A467" t="s">
        <v>1688</v>
      </c>
      <c r="B467" t="s">
        <v>1689</v>
      </c>
      <c r="C467" t="s">
        <v>1645</v>
      </c>
      <c r="D467" t="str">
        <f>_xlfn.XLOOKUP(ISIC_Rev_5_english_structure__1[[#This Row],[Column4]],INDUSTRYGROUP!$C$2:$C$23,INDUSTRYGROUP!$D$2:$D$23,"NONE")</f>
        <v>NONE</v>
      </c>
      <c r="E467" t="str">
        <f>_xlfn.XLOOKUP(LEFT(A467,2),SECTOR!$A$2:$A$88,SECTOR!$A$2:$A$88,"")</f>
        <v/>
      </c>
      <c r="F467" t="str">
        <f>_xlfn.XLOOKUP(LEFT(A467,2),SECTOR!$A$2:$A$88,SECTOR!$B$2:$B$88,"")</f>
        <v/>
      </c>
      <c r="G467" t="str">
        <f>_xlfn.XLOOKUP(LEFT(A467,3),INDUSTRY!$A$2:$A$259,INDUSTRY!$A$2:$A$259,"")</f>
        <v/>
      </c>
      <c r="H467" t="str">
        <f>_xlfn.XLOOKUP(LEFT(A467,3),INDUSTRY!$A$2:$A$259,INDUSTRY!$B$2:$B$259,"")</f>
        <v/>
      </c>
      <c r="I467" t="str">
        <f t="shared" si="14"/>
        <v/>
      </c>
      <c r="J467" t="str">
        <f t="shared" si="15"/>
        <v/>
      </c>
    </row>
    <row r="468" spans="1:10" x14ac:dyDescent="0.25">
      <c r="A468" t="s">
        <v>1690</v>
      </c>
      <c r="B468" t="s">
        <v>1691</v>
      </c>
      <c r="C468" t="s">
        <v>1645</v>
      </c>
      <c r="D468" t="str">
        <f>_xlfn.XLOOKUP(ISIC_Rev_5_english_structure__1[[#This Row],[Column4]],INDUSTRYGROUP!$C$2:$C$23,INDUSTRYGROUP!$D$2:$D$23,"NONE")</f>
        <v>NONE</v>
      </c>
      <c r="E468" t="str">
        <f>_xlfn.XLOOKUP(LEFT(A468,2),SECTOR!$A$2:$A$88,SECTOR!$A$2:$A$88,"")</f>
        <v/>
      </c>
      <c r="F468" t="str">
        <f>_xlfn.XLOOKUP(LEFT(A468,2),SECTOR!$A$2:$A$88,SECTOR!$B$2:$B$88,"")</f>
        <v/>
      </c>
      <c r="G468" t="str">
        <f>_xlfn.XLOOKUP(LEFT(A468,3),INDUSTRY!$A$2:$A$259,INDUSTRY!$A$2:$A$259,"")</f>
        <v>521</v>
      </c>
      <c r="H468" t="str">
        <f>_xlfn.XLOOKUP(LEFT(A468,3),INDUSTRY!$A$2:$A$259,INDUSTRY!$B$2:$B$259,"")</f>
        <v>Warehousing and storage</v>
      </c>
      <c r="I468" t="str">
        <f t="shared" si="14"/>
        <v/>
      </c>
      <c r="J468" t="str">
        <f t="shared" si="15"/>
        <v/>
      </c>
    </row>
    <row r="469" spans="1:10" x14ac:dyDescent="0.25">
      <c r="A469" t="s">
        <v>1692</v>
      </c>
      <c r="B469" t="s">
        <v>1691</v>
      </c>
      <c r="C469" t="s">
        <v>1645</v>
      </c>
      <c r="D469" t="str">
        <f>_xlfn.XLOOKUP(ISIC_Rev_5_english_structure__1[[#This Row],[Column4]],INDUSTRYGROUP!$C$2:$C$23,INDUSTRYGROUP!$D$2:$D$23,"NONE")</f>
        <v>NONE</v>
      </c>
      <c r="E469" t="str">
        <f>_xlfn.XLOOKUP(LEFT(A469,2),SECTOR!$A$2:$A$88,SECTOR!$A$2:$A$88,"")</f>
        <v/>
      </c>
      <c r="F469" t="str">
        <f>_xlfn.XLOOKUP(LEFT(A469,2),SECTOR!$A$2:$A$88,SECTOR!$B$2:$B$88,"")</f>
        <v/>
      </c>
      <c r="G469" t="str">
        <f>_xlfn.XLOOKUP(LEFT(A469,3),INDUSTRY!$A$2:$A$259,INDUSTRY!$A$2:$A$259,"")</f>
        <v>521</v>
      </c>
      <c r="H469" t="str">
        <f>_xlfn.XLOOKUP(LEFT(A469,3),INDUSTRY!$A$2:$A$259,INDUSTRY!$B$2:$B$259,"")</f>
        <v>Warehousing and storage</v>
      </c>
      <c r="I469" t="str">
        <f t="shared" si="14"/>
        <v>5210</v>
      </c>
      <c r="J469" t="str">
        <f t="shared" si="15"/>
        <v>Warehousing and storage</v>
      </c>
    </row>
    <row r="470" spans="1:10" x14ac:dyDescent="0.25">
      <c r="A470" t="s">
        <v>1693</v>
      </c>
      <c r="B470" t="s">
        <v>1694</v>
      </c>
      <c r="C470" t="s">
        <v>1645</v>
      </c>
      <c r="D470" t="str">
        <f>_xlfn.XLOOKUP(ISIC_Rev_5_english_structure__1[[#This Row],[Column4]],INDUSTRYGROUP!$C$2:$C$23,INDUSTRYGROUP!$D$2:$D$23,"NONE")</f>
        <v>NONE</v>
      </c>
      <c r="E470" t="str">
        <f>_xlfn.XLOOKUP(LEFT(A470,2),SECTOR!$A$2:$A$88,SECTOR!$A$2:$A$88,"")</f>
        <v/>
      </c>
      <c r="F470" t="str">
        <f>_xlfn.XLOOKUP(LEFT(A470,2),SECTOR!$A$2:$A$88,SECTOR!$B$2:$B$88,"")</f>
        <v/>
      </c>
      <c r="G470" t="str">
        <f>_xlfn.XLOOKUP(LEFT(A470,3),INDUSTRY!$A$2:$A$259,INDUSTRY!$A$2:$A$259,"")</f>
        <v>522</v>
      </c>
      <c r="H470" t="str">
        <f>_xlfn.XLOOKUP(LEFT(A470,3),INDUSTRY!$A$2:$A$259,INDUSTRY!$B$2:$B$259,"")</f>
        <v>Support activities for transportation</v>
      </c>
      <c r="I470" t="str">
        <f t="shared" si="14"/>
        <v/>
      </c>
      <c r="J470" t="str">
        <f t="shared" si="15"/>
        <v/>
      </c>
    </row>
    <row r="471" spans="1:10" x14ac:dyDescent="0.25">
      <c r="A471" t="s">
        <v>1695</v>
      </c>
      <c r="B471" t="s">
        <v>1696</v>
      </c>
      <c r="C471" t="s">
        <v>1645</v>
      </c>
      <c r="D471" t="str">
        <f>_xlfn.XLOOKUP(ISIC_Rev_5_english_structure__1[[#This Row],[Column4]],INDUSTRYGROUP!$C$2:$C$23,INDUSTRYGROUP!$D$2:$D$23,"NONE")</f>
        <v>NONE</v>
      </c>
      <c r="E471" t="str">
        <f>_xlfn.XLOOKUP(LEFT(A471,2),SECTOR!$A$2:$A$88,SECTOR!$A$2:$A$88,"")</f>
        <v/>
      </c>
      <c r="F471" t="str">
        <f>_xlfn.XLOOKUP(LEFT(A471,2),SECTOR!$A$2:$A$88,SECTOR!$B$2:$B$88,"")</f>
        <v/>
      </c>
      <c r="G471" t="str">
        <f>_xlfn.XLOOKUP(LEFT(A471,3),INDUSTRY!$A$2:$A$259,INDUSTRY!$A$2:$A$259,"")</f>
        <v>522</v>
      </c>
      <c r="H471" t="str">
        <f>_xlfn.XLOOKUP(LEFT(A471,3),INDUSTRY!$A$2:$A$259,INDUSTRY!$B$2:$B$259,"")</f>
        <v>Support activities for transportation</v>
      </c>
      <c r="I471" t="str">
        <f t="shared" si="14"/>
        <v>5221</v>
      </c>
      <c r="J471" t="str">
        <f t="shared" si="15"/>
        <v>Service activities incidental to land transportation</v>
      </c>
    </row>
    <row r="472" spans="1:10" x14ac:dyDescent="0.25">
      <c r="A472" t="s">
        <v>1697</v>
      </c>
      <c r="B472" t="s">
        <v>1698</v>
      </c>
      <c r="C472" t="s">
        <v>1645</v>
      </c>
      <c r="D472" t="str">
        <f>_xlfn.XLOOKUP(ISIC_Rev_5_english_structure__1[[#This Row],[Column4]],INDUSTRYGROUP!$C$2:$C$23,INDUSTRYGROUP!$D$2:$D$23,"NONE")</f>
        <v>NONE</v>
      </c>
      <c r="E472" t="str">
        <f>_xlfn.XLOOKUP(LEFT(A472,2),SECTOR!$A$2:$A$88,SECTOR!$A$2:$A$88,"")</f>
        <v/>
      </c>
      <c r="F472" t="str">
        <f>_xlfn.XLOOKUP(LEFT(A472,2),SECTOR!$A$2:$A$88,SECTOR!$B$2:$B$88,"")</f>
        <v/>
      </c>
      <c r="G472" t="str">
        <f>_xlfn.XLOOKUP(LEFT(A472,3),INDUSTRY!$A$2:$A$259,INDUSTRY!$A$2:$A$259,"")</f>
        <v>522</v>
      </c>
      <c r="H472" t="str">
        <f>_xlfn.XLOOKUP(LEFT(A472,3),INDUSTRY!$A$2:$A$259,INDUSTRY!$B$2:$B$259,"")</f>
        <v>Support activities for transportation</v>
      </c>
      <c r="I472" t="str">
        <f t="shared" si="14"/>
        <v>5222</v>
      </c>
      <c r="J472" t="str">
        <f t="shared" si="15"/>
        <v>Service activities incidental to water transportation</v>
      </c>
    </row>
    <row r="473" spans="1:10" x14ac:dyDescent="0.25">
      <c r="A473" t="s">
        <v>1699</v>
      </c>
      <c r="B473" t="s">
        <v>1700</v>
      </c>
      <c r="C473" t="s">
        <v>1645</v>
      </c>
      <c r="D473" t="str">
        <f>_xlfn.XLOOKUP(ISIC_Rev_5_english_structure__1[[#This Row],[Column4]],INDUSTRYGROUP!$C$2:$C$23,INDUSTRYGROUP!$D$2:$D$23,"NONE")</f>
        <v>NONE</v>
      </c>
      <c r="E473" t="str">
        <f>_xlfn.XLOOKUP(LEFT(A473,2),SECTOR!$A$2:$A$88,SECTOR!$A$2:$A$88,"")</f>
        <v/>
      </c>
      <c r="F473" t="str">
        <f>_xlfn.XLOOKUP(LEFT(A473,2),SECTOR!$A$2:$A$88,SECTOR!$B$2:$B$88,"")</f>
        <v/>
      </c>
      <c r="G473" t="str">
        <f>_xlfn.XLOOKUP(LEFT(A473,3),INDUSTRY!$A$2:$A$259,INDUSTRY!$A$2:$A$259,"")</f>
        <v>522</v>
      </c>
      <c r="H473" t="str">
        <f>_xlfn.XLOOKUP(LEFT(A473,3),INDUSTRY!$A$2:$A$259,INDUSTRY!$B$2:$B$259,"")</f>
        <v>Support activities for transportation</v>
      </c>
      <c r="I473" t="str">
        <f t="shared" si="14"/>
        <v>5223</v>
      </c>
      <c r="J473" t="str">
        <f t="shared" si="15"/>
        <v>Service activities incidental to air transportation</v>
      </c>
    </row>
    <row r="474" spans="1:10" x14ac:dyDescent="0.25">
      <c r="A474" t="s">
        <v>1701</v>
      </c>
      <c r="B474" t="s">
        <v>1702</v>
      </c>
      <c r="C474" t="s">
        <v>1645</v>
      </c>
      <c r="D474" t="str">
        <f>_xlfn.XLOOKUP(ISIC_Rev_5_english_structure__1[[#This Row],[Column4]],INDUSTRYGROUP!$C$2:$C$23,INDUSTRYGROUP!$D$2:$D$23,"NONE")</f>
        <v>NONE</v>
      </c>
      <c r="E474" t="str">
        <f>_xlfn.XLOOKUP(LEFT(A474,2),SECTOR!$A$2:$A$88,SECTOR!$A$2:$A$88,"")</f>
        <v/>
      </c>
      <c r="F474" t="str">
        <f>_xlfn.XLOOKUP(LEFT(A474,2),SECTOR!$A$2:$A$88,SECTOR!$B$2:$B$88,"")</f>
        <v/>
      </c>
      <c r="G474" t="str">
        <f>_xlfn.XLOOKUP(LEFT(A474,3),INDUSTRY!$A$2:$A$259,INDUSTRY!$A$2:$A$259,"")</f>
        <v>522</v>
      </c>
      <c r="H474" t="str">
        <f>_xlfn.XLOOKUP(LEFT(A474,3),INDUSTRY!$A$2:$A$259,INDUSTRY!$B$2:$B$259,"")</f>
        <v>Support activities for transportation</v>
      </c>
      <c r="I474" t="str">
        <f t="shared" si="14"/>
        <v>5224</v>
      </c>
      <c r="J474" t="str">
        <f t="shared" si="15"/>
        <v>Cargo handling</v>
      </c>
    </row>
    <row r="475" spans="1:10" x14ac:dyDescent="0.25">
      <c r="A475" t="s">
        <v>1703</v>
      </c>
      <c r="B475" t="s">
        <v>1704</v>
      </c>
      <c r="C475" t="s">
        <v>1645</v>
      </c>
      <c r="D475" t="str">
        <f>_xlfn.XLOOKUP(ISIC_Rev_5_english_structure__1[[#This Row],[Column4]],INDUSTRYGROUP!$C$2:$C$23,INDUSTRYGROUP!$D$2:$D$23,"NONE")</f>
        <v>NONE</v>
      </c>
      <c r="E475" t="str">
        <f>_xlfn.XLOOKUP(LEFT(A475,2),SECTOR!$A$2:$A$88,SECTOR!$A$2:$A$88,"")</f>
        <v/>
      </c>
      <c r="F475" t="str">
        <f>_xlfn.XLOOKUP(LEFT(A475,2),SECTOR!$A$2:$A$88,SECTOR!$B$2:$B$88,"")</f>
        <v/>
      </c>
      <c r="G475" t="str">
        <f>_xlfn.XLOOKUP(LEFT(A475,3),INDUSTRY!$A$2:$A$259,INDUSTRY!$A$2:$A$259,"")</f>
        <v>522</v>
      </c>
      <c r="H475" t="str">
        <f>_xlfn.XLOOKUP(LEFT(A475,3),INDUSTRY!$A$2:$A$259,INDUSTRY!$B$2:$B$259,"")</f>
        <v>Support activities for transportation</v>
      </c>
      <c r="I475" t="str">
        <f t="shared" si="14"/>
        <v>5229</v>
      </c>
      <c r="J475" t="str">
        <f t="shared" si="15"/>
        <v xml:space="preserve">Other support activities for transportation </v>
      </c>
    </row>
    <row r="476" spans="1:10" x14ac:dyDescent="0.25">
      <c r="A476" t="s">
        <v>1705</v>
      </c>
      <c r="B476" t="s">
        <v>1706</v>
      </c>
      <c r="C476" t="s">
        <v>1645</v>
      </c>
      <c r="D476" t="str">
        <f>_xlfn.XLOOKUP(ISIC_Rev_5_english_structure__1[[#This Row],[Column4]],INDUSTRYGROUP!$C$2:$C$23,INDUSTRYGROUP!$D$2:$D$23,"NONE")</f>
        <v>NONE</v>
      </c>
      <c r="E476" t="str">
        <f>_xlfn.XLOOKUP(LEFT(A476,2),SECTOR!$A$2:$A$88,SECTOR!$A$2:$A$88,"")</f>
        <v/>
      </c>
      <c r="F476" t="str">
        <f>_xlfn.XLOOKUP(LEFT(A476,2),SECTOR!$A$2:$A$88,SECTOR!$B$2:$B$88,"")</f>
        <v/>
      </c>
      <c r="G476" t="str">
        <f>_xlfn.XLOOKUP(LEFT(A476,3),INDUSTRY!$A$2:$A$259,INDUSTRY!$A$2:$A$259,"")</f>
        <v>523</v>
      </c>
      <c r="H476" t="str">
        <f>_xlfn.XLOOKUP(LEFT(A476,3),INDUSTRY!$A$2:$A$259,INDUSTRY!$B$2:$B$259,"")</f>
        <v>Intermediation service activities for transportation</v>
      </c>
      <c r="I476" t="str">
        <f t="shared" si="14"/>
        <v/>
      </c>
      <c r="J476" t="str">
        <f t="shared" si="15"/>
        <v/>
      </c>
    </row>
    <row r="477" spans="1:10" x14ac:dyDescent="0.25">
      <c r="A477" t="s">
        <v>1707</v>
      </c>
      <c r="B477" t="s">
        <v>1708</v>
      </c>
      <c r="C477" t="s">
        <v>1645</v>
      </c>
      <c r="D477" t="str">
        <f>_xlfn.XLOOKUP(ISIC_Rev_5_english_structure__1[[#This Row],[Column4]],INDUSTRYGROUP!$C$2:$C$23,INDUSTRYGROUP!$D$2:$D$23,"NONE")</f>
        <v>NONE</v>
      </c>
      <c r="E477" t="str">
        <f>_xlfn.XLOOKUP(LEFT(A477,2),SECTOR!$A$2:$A$88,SECTOR!$A$2:$A$88,"")</f>
        <v/>
      </c>
      <c r="F477" t="str">
        <f>_xlfn.XLOOKUP(LEFT(A477,2),SECTOR!$A$2:$A$88,SECTOR!$B$2:$B$88,"")</f>
        <v/>
      </c>
      <c r="G477" t="str">
        <f>_xlfn.XLOOKUP(LEFT(A477,3),INDUSTRY!$A$2:$A$259,INDUSTRY!$A$2:$A$259,"")</f>
        <v>523</v>
      </c>
      <c r="H477" t="str">
        <f>_xlfn.XLOOKUP(LEFT(A477,3),INDUSTRY!$A$2:$A$259,INDUSTRY!$B$2:$B$259,"")</f>
        <v>Intermediation service activities for transportation</v>
      </c>
      <c r="I477" t="str">
        <f t="shared" si="14"/>
        <v>5231</v>
      </c>
      <c r="J477" t="str">
        <f t="shared" si="15"/>
        <v>Intermediation service activities for freight transportation</v>
      </c>
    </row>
    <row r="478" spans="1:10" x14ac:dyDescent="0.25">
      <c r="A478" t="s">
        <v>1709</v>
      </c>
      <c r="B478" t="s">
        <v>1710</v>
      </c>
      <c r="C478" t="s">
        <v>1645</v>
      </c>
      <c r="D478" t="str">
        <f>_xlfn.XLOOKUP(ISIC_Rev_5_english_structure__1[[#This Row],[Column4]],INDUSTRYGROUP!$C$2:$C$23,INDUSTRYGROUP!$D$2:$D$23,"NONE")</f>
        <v>NONE</v>
      </c>
      <c r="E478" t="str">
        <f>_xlfn.XLOOKUP(LEFT(A478,2),SECTOR!$A$2:$A$88,SECTOR!$A$2:$A$88,"")</f>
        <v/>
      </c>
      <c r="F478" t="str">
        <f>_xlfn.XLOOKUP(LEFT(A478,2),SECTOR!$A$2:$A$88,SECTOR!$B$2:$B$88,"")</f>
        <v/>
      </c>
      <c r="G478" t="str">
        <f>_xlfn.XLOOKUP(LEFT(A478,3),INDUSTRY!$A$2:$A$259,INDUSTRY!$A$2:$A$259,"")</f>
        <v>523</v>
      </c>
      <c r="H478" t="str">
        <f>_xlfn.XLOOKUP(LEFT(A478,3),INDUSTRY!$A$2:$A$259,INDUSTRY!$B$2:$B$259,"")</f>
        <v>Intermediation service activities for transportation</v>
      </c>
      <c r="I478" t="str">
        <f t="shared" si="14"/>
        <v>5232</v>
      </c>
      <c r="J478" t="str">
        <f t="shared" si="15"/>
        <v>Intermediation service activities for passenger transportation</v>
      </c>
    </row>
    <row r="479" spans="1:10" x14ac:dyDescent="0.25">
      <c r="A479" t="s">
        <v>1711</v>
      </c>
      <c r="B479" t="s">
        <v>1712</v>
      </c>
      <c r="C479" t="s">
        <v>1645</v>
      </c>
      <c r="D479" t="str">
        <f>_xlfn.XLOOKUP(ISIC_Rev_5_english_structure__1[[#This Row],[Column4]],INDUSTRYGROUP!$C$2:$C$23,INDUSTRYGROUP!$D$2:$D$23,"NONE")</f>
        <v>NONE</v>
      </c>
      <c r="E479" t="str">
        <f>_xlfn.XLOOKUP(LEFT(A479,2),SECTOR!$A$2:$A$88,SECTOR!$A$2:$A$88,"")</f>
        <v/>
      </c>
      <c r="F479" t="str">
        <f>_xlfn.XLOOKUP(LEFT(A479,2),SECTOR!$A$2:$A$88,SECTOR!$B$2:$B$88,"")</f>
        <v/>
      </c>
      <c r="G479" t="str">
        <f>_xlfn.XLOOKUP(LEFT(A479,3),INDUSTRY!$A$2:$A$259,INDUSTRY!$A$2:$A$259,"")</f>
        <v/>
      </c>
      <c r="H479" t="str">
        <f>_xlfn.XLOOKUP(LEFT(A479,3),INDUSTRY!$A$2:$A$259,INDUSTRY!$B$2:$B$259,"")</f>
        <v/>
      </c>
      <c r="I479" t="str">
        <f t="shared" si="14"/>
        <v/>
      </c>
      <c r="J479" t="str">
        <f t="shared" si="15"/>
        <v/>
      </c>
    </row>
    <row r="480" spans="1:10" x14ac:dyDescent="0.25">
      <c r="A480" t="s">
        <v>1713</v>
      </c>
      <c r="B480" t="s">
        <v>1714</v>
      </c>
      <c r="C480" t="s">
        <v>1645</v>
      </c>
      <c r="D480" t="str">
        <f>_xlfn.XLOOKUP(ISIC_Rev_5_english_structure__1[[#This Row],[Column4]],INDUSTRYGROUP!$C$2:$C$23,INDUSTRYGROUP!$D$2:$D$23,"NONE")</f>
        <v>NONE</v>
      </c>
      <c r="E480" t="str">
        <f>_xlfn.XLOOKUP(LEFT(A480,2),SECTOR!$A$2:$A$88,SECTOR!$A$2:$A$88,"")</f>
        <v/>
      </c>
      <c r="F480" t="str">
        <f>_xlfn.XLOOKUP(LEFT(A480,2),SECTOR!$A$2:$A$88,SECTOR!$B$2:$B$88,"")</f>
        <v/>
      </c>
      <c r="G480" t="str">
        <f>_xlfn.XLOOKUP(LEFT(A480,3),INDUSTRY!$A$2:$A$259,INDUSTRY!$A$2:$A$259,"")</f>
        <v>531</v>
      </c>
      <c r="H480" t="str">
        <f>_xlfn.XLOOKUP(LEFT(A480,3),INDUSTRY!$A$2:$A$259,INDUSTRY!$B$2:$B$259,"")</f>
        <v>Postal activities</v>
      </c>
      <c r="I480" t="str">
        <f t="shared" si="14"/>
        <v/>
      </c>
      <c r="J480" t="str">
        <f t="shared" si="15"/>
        <v/>
      </c>
    </row>
    <row r="481" spans="1:10" x14ac:dyDescent="0.25">
      <c r="A481" t="s">
        <v>1715</v>
      </c>
      <c r="B481" t="s">
        <v>1714</v>
      </c>
      <c r="C481" t="s">
        <v>1645</v>
      </c>
      <c r="D481" t="str">
        <f>_xlfn.XLOOKUP(ISIC_Rev_5_english_structure__1[[#This Row],[Column4]],INDUSTRYGROUP!$C$2:$C$23,INDUSTRYGROUP!$D$2:$D$23,"NONE")</f>
        <v>NONE</v>
      </c>
      <c r="E481" t="str">
        <f>_xlfn.XLOOKUP(LEFT(A481,2),SECTOR!$A$2:$A$88,SECTOR!$A$2:$A$88,"")</f>
        <v/>
      </c>
      <c r="F481" t="str">
        <f>_xlfn.XLOOKUP(LEFT(A481,2),SECTOR!$A$2:$A$88,SECTOR!$B$2:$B$88,"")</f>
        <v/>
      </c>
      <c r="G481" t="str">
        <f>_xlfn.XLOOKUP(LEFT(A481,3),INDUSTRY!$A$2:$A$259,INDUSTRY!$A$2:$A$259,"")</f>
        <v>531</v>
      </c>
      <c r="H481" t="str">
        <f>_xlfn.XLOOKUP(LEFT(A481,3),INDUSTRY!$A$2:$A$259,INDUSTRY!$B$2:$B$259,"")</f>
        <v>Postal activities</v>
      </c>
      <c r="I481" t="str">
        <f t="shared" si="14"/>
        <v>5310</v>
      </c>
      <c r="J481" t="str">
        <f t="shared" si="15"/>
        <v>Postal activities</v>
      </c>
    </row>
    <row r="482" spans="1:10" x14ac:dyDescent="0.25">
      <c r="A482" t="s">
        <v>1716</v>
      </c>
      <c r="B482" t="s">
        <v>1717</v>
      </c>
      <c r="C482" t="s">
        <v>1645</v>
      </c>
      <c r="D482" t="str">
        <f>_xlfn.XLOOKUP(ISIC_Rev_5_english_structure__1[[#This Row],[Column4]],INDUSTRYGROUP!$C$2:$C$23,INDUSTRYGROUP!$D$2:$D$23,"NONE")</f>
        <v>NONE</v>
      </c>
      <c r="E482" t="str">
        <f>_xlfn.XLOOKUP(LEFT(A482,2),SECTOR!$A$2:$A$88,SECTOR!$A$2:$A$88,"")</f>
        <v/>
      </c>
      <c r="F482" t="str">
        <f>_xlfn.XLOOKUP(LEFT(A482,2),SECTOR!$A$2:$A$88,SECTOR!$B$2:$B$88,"")</f>
        <v/>
      </c>
      <c r="G482" t="str">
        <f>_xlfn.XLOOKUP(LEFT(A482,3),INDUSTRY!$A$2:$A$259,INDUSTRY!$A$2:$A$259,"")</f>
        <v>532</v>
      </c>
      <c r="H482" t="str">
        <f>_xlfn.XLOOKUP(LEFT(A482,3),INDUSTRY!$A$2:$A$259,INDUSTRY!$B$2:$B$259,"")</f>
        <v>Courier activities</v>
      </c>
      <c r="I482" t="str">
        <f t="shared" si="14"/>
        <v/>
      </c>
      <c r="J482" t="str">
        <f t="shared" si="15"/>
        <v/>
      </c>
    </row>
    <row r="483" spans="1:10" x14ac:dyDescent="0.25">
      <c r="A483" t="s">
        <v>1718</v>
      </c>
      <c r="B483" t="s">
        <v>1717</v>
      </c>
      <c r="C483" t="s">
        <v>1645</v>
      </c>
      <c r="D483" t="str">
        <f>_xlfn.XLOOKUP(ISIC_Rev_5_english_structure__1[[#This Row],[Column4]],INDUSTRYGROUP!$C$2:$C$23,INDUSTRYGROUP!$D$2:$D$23,"NONE")</f>
        <v>NONE</v>
      </c>
      <c r="E483" t="str">
        <f>_xlfn.XLOOKUP(LEFT(A483,2),SECTOR!$A$2:$A$88,SECTOR!$A$2:$A$88,"")</f>
        <v/>
      </c>
      <c r="F483" t="str">
        <f>_xlfn.XLOOKUP(LEFT(A483,2),SECTOR!$A$2:$A$88,SECTOR!$B$2:$B$88,"")</f>
        <v/>
      </c>
      <c r="G483" t="str">
        <f>_xlfn.XLOOKUP(LEFT(A483,3),INDUSTRY!$A$2:$A$259,INDUSTRY!$A$2:$A$259,"")</f>
        <v>532</v>
      </c>
      <c r="H483" t="str">
        <f>_xlfn.XLOOKUP(LEFT(A483,3),INDUSTRY!$A$2:$A$259,INDUSTRY!$B$2:$B$259,"")</f>
        <v>Courier activities</v>
      </c>
      <c r="I483" t="str">
        <f t="shared" si="14"/>
        <v>5320</v>
      </c>
      <c r="J483" t="str">
        <f t="shared" si="15"/>
        <v>Courier activities</v>
      </c>
    </row>
    <row r="484" spans="1:10" x14ac:dyDescent="0.25">
      <c r="A484" t="s">
        <v>1719</v>
      </c>
      <c r="B484" t="s">
        <v>1720</v>
      </c>
      <c r="C484" t="s">
        <v>1645</v>
      </c>
      <c r="D484" t="str">
        <f>_xlfn.XLOOKUP(ISIC_Rev_5_english_structure__1[[#This Row],[Column4]],INDUSTRYGROUP!$C$2:$C$23,INDUSTRYGROUP!$D$2:$D$23,"NONE")</f>
        <v>NONE</v>
      </c>
      <c r="E484" t="str">
        <f>_xlfn.XLOOKUP(LEFT(A484,2),SECTOR!$A$2:$A$88,SECTOR!$A$2:$A$88,"")</f>
        <v/>
      </c>
      <c r="F484" t="str">
        <f>_xlfn.XLOOKUP(LEFT(A484,2),SECTOR!$A$2:$A$88,SECTOR!$B$2:$B$88,"")</f>
        <v/>
      </c>
      <c r="G484" t="str">
        <f>_xlfn.XLOOKUP(LEFT(A484,3),INDUSTRY!$A$2:$A$259,INDUSTRY!$A$2:$A$259,"")</f>
        <v>533</v>
      </c>
      <c r="H484" t="str">
        <f>_xlfn.XLOOKUP(LEFT(A484,3),INDUSTRY!$A$2:$A$259,INDUSTRY!$B$2:$B$259,"")</f>
        <v>Intermediation service activities for postal and courier activities</v>
      </c>
      <c r="I484" t="str">
        <f t="shared" si="14"/>
        <v/>
      </c>
      <c r="J484" t="str">
        <f t="shared" si="15"/>
        <v/>
      </c>
    </row>
    <row r="485" spans="1:10" x14ac:dyDescent="0.25">
      <c r="A485" t="s">
        <v>1721</v>
      </c>
      <c r="B485" t="s">
        <v>1720</v>
      </c>
      <c r="C485" t="s">
        <v>1645</v>
      </c>
      <c r="D485" t="str">
        <f>_xlfn.XLOOKUP(ISIC_Rev_5_english_structure__1[[#This Row],[Column4]],INDUSTRYGROUP!$C$2:$C$23,INDUSTRYGROUP!$D$2:$D$23,"NONE")</f>
        <v>NONE</v>
      </c>
      <c r="E485" t="str">
        <f>_xlfn.XLOOKUP(LEFT(A485,2),SECTOR!$A$2:$A$88,SECTOR!$A$2:$A$88,"")</f>
        <v/>
      </c>
      <c r="F485" t="str">
        <f>_xlfn.XLOOKUP(LEFT(A485,2),SECTOR!$A$2:$A$88,SECTOR!$B$2:$B$88,"")</f>
        <v/>
      </c>
      <c r="G485" t="str">
        <f>_xlfn.XLOOKUP(LEFT(A485,3),INDUSTRY!$A$2:$A$259,INDUSTRY!$A$2:$A$259,"")</f>
        <v>533</v>
      </c>
      <c r="H485" t="str">
        <f>_xlfn.XLOOKUP(LEFT(A485,3),INDUSTRY!$A$2:$A$259,INDUSTRY!$B$2:$B$259,"")</f>
        <v>Intermediation service activities for postal and courier activities</v>
      </c>
      <c r="I485" t="str">
        <f t="shared" si="14"/>
        <v>5330</v>
      </c>
      <c r="J485" t="str">
        <f t="shared" si="15"/>
        <v>Intermediation service activities for postal and courier activities</v>
      </c>
    </row>
    <row r="486" spans="1:10" x14ac:dyDescent="0.25">
      <c r="A486" t="s">
        <v>1722</v>
      </c>
      <c r="B486" t="s">
        <v>1723</v>
      </c>
      <c r="C486" t="s">
        <v>1722</v>
      </c>
      <c r="D486" t="str">
        <f>_xlfn.XLOOKUP(ISIC_Rev_5_english_structure__1[[#This Row],[Column4]],INDUSTRYGROUP!$C$2:$C$23,INDUSTRYGROUP!$D$2:$D$23,"NONE")</f>
        <v>NONE</v>
      </c>
      <c r="E486" t="str">
        <f>_xlfn.XLOOKUP(LEFT(A486,2),SECTOR!$A$2:$A$88,SECTOR!$A$2:$A$88,"")</f>
        <v>I</v>
      </c>
      <c r="F486" t="str">
        <f>_xlfn.XLOOKUP(LEFT(A486,2),SECTOR!$A$2:$A$88,SECTOR!$B$2:$B$88,"")</f>
        <v>Accommodation and food service activities</v>
      </c>
      <c r="G486" t="str">
        <f>_xlfn.XLOOKUP(LEFT(A486,3),INDUSTRY!$A$2:$A$259,INDUSTRY!$A$2:$A$259,"")</f>
        <v/>
      </c>
      <c r="H486" t="str">
        <f>_xlfn.XLOOKUP(LEFT(A486,3),INDUSTRY!$A$2:$A$259,INDUSTRY!$B$2:$B$259,"")</f>
        <v/>
      </c>
      <c r="I486" t="str">
        <f t="shared" si="14"/>
        <v/>
      </c>
      <c r="J486" t="str">
        <f t="shared" si="15"/>
        <v/>
      </c>
    </row>
    <row r="487" spans="1:10" x14ac:dyDescent="0.25">
      <c r="A487" t="s">
        <v>1724</v>
      </c>
      <c r="B487" t="s">
        <v>1725</v>
      </c>
      <c r="C487" t="s">
        <v>1722</v>
      </c>
      <c r="D487" t="str">
        <f>_xlfn.XLOOKUP(ISIC_Rev_5_english_structure__1[[#This Row],[Column4]],INDUSTRYGROUP!$C$2:$C$23,INDUSTRYGROUP!$D$2:$D$23,"NONE")</f>
        <v>NONE</v>
      </c>
      <c r="E487" t="str">
        <f>_xlfn.XLOOKUP(LEFT(A487,2),SECTOR!$A$2:$A$88,SECTOR!$A$2:$A$88,"")</f>
        <v/>
      </c>
      <c r="F487" t="str">
        <f>_xlfn.XLOOKUP(LEFT(A487,2),SECTOR!$A$2:$A$88,SECTOR!$B$2:$B$88,"")</f>
        <v/>
      </c>
      <c r="G487" t="str">
        <f>_xlfn.XLOOKUP(LEFT(A487,3),INDUSTRY!$A$2:$A$259,INDUSTRY!$A$2:$A$259,"")</f>
        <v/>
      </c>
      <c r="H487" t="str">
        <f>_xlfn.XLOOKUP(LEFT(A487,3),INDUSTRY!$A$2:$A$259,INDUSTRY!$B$2:$B$259,"")</f>
        <v/>
      </c>
      <c r="I487" t="str">
        <f t="shared" si="14"/>
        <v/>
      </c>
      <c r="J487" t="str">
        <f t="shared" si="15"/>
        <v/>
      </c>
    </row>
    <row r="488" spans="1:10" x14ac:dyDescent="0.25">
      <c r="A488" t="s">
        <v>1726</v>
      </c>
      <c r="B488" t="s">
        <v>1727</v>
      </c>
      <c r="C488" t="s">
        <v>1722</v>
      </c>
      <c r="D488" t="str">
        <f>_xlfn.XLOOKUP(ISIC_Rev_5_english_structure__1[[#This Row],[Column4]],INDUSTRYGROUP!$C$2:$C$23,INDUSTRYGROUP!$D$2:$D$23,"NONE")</f>
        <v>NONE</v>
      </c>
      <c r="E488" t="str">
        <f>_xlfn.XLOOKUP(LEFT(A488,2),SECTOR!$A$2:$A$88,SECTOR!$A$2:$A$88,"")</f>
        <v/>
      </c>
      <c r="F488" t="str">
        <f>_xlfn.XLOOKUP(LEFT(A488,2),SECTOR!$A$2:$A$88,SECTOR!$B$2:$B$88,"")</f>
        <v/>
      </c>
      <c r="G488" t="str">
        <f>_xlfn.XLOOKUP(LEFT(A488,3),INDUSTRY!$A$2:$A$259,INDUSTRY!$A$2:$A$259,"")</f>
        <v>551</v>
      </c>
      <c r="H488" t="str">
        <f>_xlfn.XLOOKUP(LEFT(A488,3),INDUSTRY!$A$2:$A$259,INDUSTRY!$B$2:$B$259,"")</f>
        <v>Hotels and similar accommodation activities</v>
      </c>
      <c r="I488" t="str">
        <f t="shared" si="14"/>
        <v/>
      </c>
      <c r="J488" t="str">
        <f t="shared" si="15"/>
        <v/>
      </c>
    </row>
    <row r="489" spans="1:10" x14ac:dyDescent="0.25">
      <c r="A489" t="s">
        <v>1728</v>
      </c>
      <c r="B489" t="s">
        <v>1727</v>
      </c>
      <c r="C489" t="s">
        <v>1722</v>
      </c>
      <c r="D489" t="str">
        <f>_xlfn.XLOOKUP(ISIC_Rev_5_english_structure__1[[#This Row],[Column4]],INDUSTRYGROUP!$C$2:$C$23,INDUSTRYGROUP!$D$2:$D$23,"NONE")</f>
        <v>NONE</v>
      </c>
      <c r="E489" t="str">
        <f>_xlfn.XLOOKUP(LEFT(A489,2),SECTOR!$A$2:$A$88,SECTOR!$A$2:$A$88,"")</f>
        <v/>
      </c>
      <c r="F489" t="str">
        <f>_xlfn.XLOOKUP(LEFT(A489,2),SECTOR!$A$2:$A$88,SECTOR!$B$2:$B$88,"")</f>
        <v/>
      </c>
      <c r="G489" t="str">
        <f>_xlfn.XLOOKUP(LEFT(A489,3),INDUSTRY!$A$2:$A$259,INDUSTRY!$A$2:$A$259,"")</f>
        <v>551</v>
      </c>
      <c r="H489" t="str">
        <f>_xlfn.XLOOKUP(LEFT(A489,3),INDUSTRY!$A$2:$A$259,INDUSTRY!$B$2:$B$259,"")</f>
        <v>Hotels and similar accommodation activities</v>
      </c>
      <c r="I489" t="str">
        <f t="shared" si="14"/>
        <v>5510</v>
      </c>
      <c r="J489" t="str">
        <f t="shared" si="15"/>
        <v>Hotels and similar accommodation activities</v>
      </c>
    </row>
    <row r="490" spans="1:10" x14ac:dyDescent="0.25">
      <c r="A490" t="s">
        <v>1729</v>
      </c>
      <c r="B490" t="s">
        <v>1730</v>
      </c>
      <c r="C490" t="s">
        <v>1722</v>
      </c>
      <c r="D490" t="str">
        <f>_xlfn.XLOOKUP(ISIC_Rev_5_english_structure__1[[#This Row],[Column4]],INDUSTRYGROUP!$C$2:$C$23,INDUSTRYGROUP!$D$2:$D$23,"NONE")</f>
        <v>NONE</v>
      </c>
      <c r="E490" t="str">
        <f>_xlfn.XLOOKUP(LEFT(A490,2),SECTOR!$A$2:$A$88,SECTOR!$A$2:$A$88,"")</f>
        <v/>
      </c>
      <c r="F490" t="str">
        <f>_xlfn.XLOOKUP(LEFT(A490,2),SECTOR!$A$2:$A$88,SECTOR!$B$2:$B$88,"")</f>
        <v/>
      </c>
      <c r="G490" t="str">
        <f>_xlfn.XLOOKUP(LEFT(A490,3),INDUSTRY!$A$2:$A$259,INDUSTRY!$A$2:$A$259,"")</f>
        <v>552</v>
      </c>
      <c r="H490" t="str">
        <f>_xlfn.XLOOKUP(LEFT(A490,3),INDUSTRY!$A$2:$A$259,INDUSTRY!$B$2:$B$259,"")</f>
        <v>Other short term accommodation activities</v>
      </c>
      <c r="I490" t="str">
        <f t="shared" si="14"/>
        <v/>
      </c>
      <c r="J490" t="str">
        <f t="shared" si="15"/>
        <v/>
      </c>
    </row>
    <row r="491" spans="1:10" x14ac:dyDescent="0.25">
      <c r="A491" t="s">
        <v>1731</v>
      </c>
      <c r="B491" t="s">
        <v>1730</v>
      </c>
      <c r="C491" t="s">
        <v>1722</v>
      </c>
      <c r="D491" t="str">
        <f>_xlfn.XLOOKUP(ISIC_Rev_5_english_structure__1[[#This Row],[Column4]],INDUSTRYGROUP!$C$2:$C$23,INDUSTRYGROUP!$D$2:$D$23,"NONE")</f>
        <v>NONE</v>
      </c>
      <c r="E491" t="str">
        <f>_xlfn.XLOOKUP(LEFT(A491,2),SECTOR!$A$2:$A$88,SECTOR!$A$2:$A$88,"")</f>
        <v/>
      </c>
      <c r="F491" t="str">
        <f>_xlfn.XLOOKUP(LEFT(A491,2),SECTOR!$A$2:$A$88,SECTOR!$B$2:$B$88,"")</f>
        <v/>
      </c>
      <c r="G491" t="str">
        <f>_xlfn.XLOOKUP(LEFT(A491,3),INDUSTRY!$A$2:$A$259,INDUSTRY!$A$2:$A$259,"")</f>
        <v>552</v>
      </c>
      <c r="H491" t="str">
        <f>_xlfn.XLOOKUP(LEFT(A491,3),INDUSTRY!$A$2:$A$259,INDUSTRY!$B$2:$B$259,"")</f>
        <v>Other short term accommodation activities</v>
      </c>
      <c r="I491" t="str">
        <f t="shared" si="14"/>
        <v>5520</v>
      </c>
      <c r="J491" t="str">
        <f t="shared" si="15"/>
        <v>Other short term accommodation activities</v>
      </c>
    </row>
    <row r="492" spans="1:10" x14ac:dyDescent="0.25">
      <c r="A492" t="s">
        <v>1732</v>
      </c>
      <c r="B492" t="s">
        <v>1733</v>
      </c>
      <c r="C492" t="s">
        <v>1722</v>
      </c>
      <c r="D492" t="str">
        <f>_xlfn.XLOOKUP(ISIC_Rev_5_english_structure__1[[#This Row],[Column4]],INDUSTRYGROUP!$C$2:$C$23,INDUSTRYGROUP!$D$2:$D$23,"NONE")</f>
        <v>NONE</v>
      </c>
      <c r="E492" t="str">
        <f>_xlfn.XLOOKUP(LEFT(A492,2),SECTOR!$A$2:$A$88,SECTOR!$A$2:$A$88,"")</f>
        <v/>
      </c>
      <c r="F492" t="str">
        <f>_xlfn.XLOOKUP(LEFT(A492,2),SECTOR!$A$2:$A$88,SECTOR!$B$2:$B$88,"")</f>
        <v/>
      </c>
      <c r="G492" t="str">
        <f>_xlfn.XLOOKUP(LEFT(A492,3),INDUSTRY!$A$2:$A$259,INDUSTRY!$A$2:$A$259,"")</f>
        <v>553</v>
      </c>
      <c r="H492" t="str">
        <f>_xlfn.XLOOKUP(LEFT(A492,3),INDUSTRY!$A$2:$A$259,INDUSTRY!$B$2:$B$259,"")</f>
        <v>Camping grounds, recreational vehicle parks and trailer parks</v>
      </c>
      <c r="I492" t="str">
        <f t="shared" si="14"/>
        <v/>
      </c>
      <c r="J492" t="str">
        <f t="shared" si="15"/>
        <v/>
      </c>
    </row>
    <row r="493" spans="1:10" x14ac:dyDescent="0.25">
      <c r="A493" t="s">
        <v>1734</v>
      </c>
      <c r="B493" t="s">
        <v>1733</v>
      </c>
      <c r="C493" t="s">
        <v>1722</v>
      </c>
      <c r="D493" t="str">
        <f>_xlfn.XLOOKUP(ISIC_Rev_5_english_structure__1[[#This Row],[Column4]],INDUSTRYGROUP!$C$2:$C$23,INDUSTRYGROUP!$D$2:$D$23,"NONE")</f>
        <v>NONE</v>
      </c>
      <c r="E493" t="str">
        <f>_xlfn.XLOOKUP(LEFT(A493,2),SECTOR!$A$2:$A$88,SECTOR!$A$2:$A$88,"")</f>
        <v/>
      </c>
      <c r="F493" t="str">
        <f>_xlfn.XLOOKUP(LEFT(A493,2),SECTOR!$A$2:$A$88,SECTOR!$B$2:$B$88,"")</f>
        <v/>
      </c>
      <c r="G493" t="str">
        <f>_xlfn.XLOOKUP(LEFT(A493,3),INDUSTRY!$A$2:$A$259,INDUSTRY!$A$2:$A$259,"")</f>
        <v>553</v>
      </c>
      <c r="H493" t="str">
        <f>_xlfn.XLOOKUP(LEFT(A493,3),INDUSTRY!$A$2:$A$259,INDUSTRY!$B$2:$B$259,"")</f>
        <v>Camping grounds, recreational vehicle parks and trailer parks</v>
      </c>
      <c r="I493" t="str">
        <f t="shared" si="14"/>
        <v>5530</v>
      </c>
      <c r="J493" t="str">
        <f t="shared" si="15"/>
        <v>Camping grounds, recreational vehicle parks and trailer parks</v>
      </c>
    </row>
    <row r="494" spans="1:10" x14ac:dyDescent="0.25">
      <c r="A494" t="s">
        <v>1735</v>
      </c>
      <c r="B494" t="s">
        <v>1736</v>
      </c>
      <c r="C494" t="s">
        <v>1722</v>
      </c>
      <c r="D494" t="str">
        <f>_xlfn.XLOOKUP(ISIC_Rev_5_english_structure__1[[#This Row],[Column4]],INDUSTRYGROUP!$C$2:$C$23,INDUSTRYGROUP!$D$2:$D$23,"NONE")</f>
        <v>NONE</v>
      </c>
      <c r="E494" t="str">
        <f>_xlfn.XLOOKUP(LEFT(A494,2),SECTOR!$A$2:$A$88,SECTOR!$A$2:$A$88,"")</f>
        <v/>
      </c>
      <c r="F494" t="str">
        <f>_xlfn.XLOOKUP(LEFT(A494,2),SECTOR!$A$2:$A$88,SECTOR!$B$2:$B$88,"")</f>
        <v/>
      </c>
      <c r="G494" t="str">
        <f>_xlfn.XLOOKUP(LEFT(A494,3),INDUSTRY!$A$2:$A$259,INDUSTRY!$A$2:$A$259,"")</f>
        <v>554</v>
      </c>
      <c r="H494" t="str">
        <f>_xlfn.XLOOKUP(LEFT(A494,3),INDUSTRY!$A$2:$A$259,INDUSTRY!$B$2:$B$259,"")</f>
        <v>Intermediation service activities for accommodation</v>
      </c>
      <c r="I494" t="str">
        <f t="shared" si="14"/>
        <v/>
      </c>
      <c r="J494" t="str">
        <f t="shared" si="15"/>
        <v/>
      </c>
    </row>
    <row r="495" spans="1:10" x14ac:dyDescent="0.25">
      <c r="A495" t="s">
        <v>1737</v>
      </c>
      <c r="B495" t="s">
        <v>1736</v>
      </c>
      <c r="C495" t="s">
        <v>1722</v>
      </c>
      <c r="D495" t="str">
        <f>_xlfn.XLOOKUP(ISIC_Rev_5_english_structure__1[[#This Row],[Column4]],INDUSTRYGROUP!$C$2:$C$23,INDUSTRYGROUP!$D$2:$D$23,"NONE")</f>
        <v>NONE</v>
      </c>
      <c r="E495" t="str">
        <f>_xlfn.XLOOKUP(LEFT(A495,2),SECTOR!$A$2:$A$88,SECTOR!$A$2:$A$88,"")</f>
        <v/>
      </c>
      <c r="F495" t="str">
        <f>_xlfn.XLOOKUP(LEFT(A495,2),SECTOR!$A$2:$A$88,SECTOR!$B$2:$B$88,"")</f>
        <v/>
      </c>
      <c r="G495" t="str">
        <f>_xlfn.XLOOKUP(LEFT(A495,3),INDUSTRY!$A$2:$A$259,INDUSTRY!$A$2:$A$259,"")</f>
        <v>554</v>
      </c>
      <c r="H495" t="str">
        <f>_xlfn.XLOOKUP(LEFT(A495,3),INDUSTRY!$A$2:$A$259,INDUSTRY!$B$2:$B$259,"")</f>
        <v>Intermediation service activities for accommodation</v>
      </c>
      <c r="I495" t="str">
        <f t="shared" si="14"/>
        <v>5540</v>
      </c>
      <c r="J495" t="str">
        <f t="shared" si="15"/>
        <v>Intermediation service activities for accommodation</v>
      </c>
    </row>
    <row r="496" spans="1:10" x14ac:dyDescent="0.25">
      <c r="A496" t="s">
        <v>1738</v>
      </c>
      <c r="B496" t="s">
        <v>1739</v>
      </c>
      <c r="C496" t="s">
        <v>1722</v>
      </c>
      <c r="D496" t="str">
        <f>_xlfn.XLOOKUP(ISIC_Rev_5_english_structure__1[[#This Row],[Column4]],INDUSTRYGROUP!$C$2:$C$23,INDUSTRYGROUP!$D$2:$D$23,"NONE")</f>
        <v>NONE</v>
      </c>
      <c r="E496" t="str">
        <f>_xlfn.XLOOKUP(LEFT(A496,2),SECTOR!$A$2:$A$88,SECTOR!$A$2:$A$88,"")</f>
        <v/>
      </c>
      <c r="F496" t="str">
        <f>_xlfn.XLOOKUP(LEFT(A496,2),SECTOR!$A$2:$A$88,SECTOR!$B$2:$B$88,"")</f>
        <v/>
      </c>
      <c r="G496" t="str">
        <f>_xlfn.XLOOKUP(LEFT(A496,3),INDUSTRY!$A$2:$A$259,INDUSTRY!$A$2:$A$259,"")</f>
        <v>559</v>
      </c>
      <c r="H496" t="str">
        <f>_xlfn.XLOOKUP(LEFT(A496,3),INDUSTRY!$A$2:$A$259,INDUSTRY!$B$2:$B$259,"")</f>
        <v>Other accommodation n.e.c.</v>
      </c>
      <c r="I496" t="str">
        <f t="shared" si="14"/>
        <v/>
      </c>
      <c r="J496" t="str">
        <f t="shared" si="15"/>
        <v/>
      </c>
    </row>
    <row r="497" spans="1:10" x14ac:dyDescent="0.25">
      <c r="A497" t="s">
        <v>1740</v>
      </c>
      <c r="B497" t="s">
        <v>1739</v>
      </c>
      <c r="C497" t="s">
        <v>1722</v>
      </c>
      <c r="D497" t="str">
        <f>_xlfn.XLOOKUP(ISIC_Rev_5_english_structure__1[[#This Row],[Column4]],INDUSTRYGROUP!$C$2:$C$23,INDUSTRYGROUP!$D$2:$D$23,"NONE")</f>
        <v>NONE</v>
      </c>
      <c r="E497" t="str">
        <f>_xlfn.XLOOKUP(LEFT(A497,2),SECTOR!$A$2:$A$88,SECTOR!$A$2:$A$88,"")</f>
        <v/>
      </c>
      <c r="F497" t="str">
        <f>_xlfn.XLOOKUP(LEFT(A497,2),SECTOR!$A$2:$A$88,SECTOR!$B$2:$B$88,"")</f>
        <v/>
      </c>
      <c r="G497" t="str">
        <f>_xlfn.XLOOKUP(LEFT(A497,3),INDUSTRY!$A$2:$A$259,INDUSTRY!$A$2:$A$259,"")</f>
        <v>559</v>
      </c>
      <c r="H497" t="str">
        <f>_xlfn.XLOOKUP(LEFT(A497,3),INDUSTRY!$A$2:$A$259,INDUSTRY!$B$2:$B$259,"")</f>
        <v>Other accommodation n.e.c.</v>
      </c>
      <c r="I497" t="str">
        <f t="shared" si="14"/>
        <v>5590</v>
      </c>
      <c r="J497" t="str">
        <f t="shared" si="15"/>
        <v>Other accommodation n.e.c.</v>
      </c>
    </row>
    <row r="498" spans="1:10" x14ac:dyDescent="0.25">
      <c r="A498" t="s">
        <v>1741</v>
      </c>
      <c r="B498" t="s">
        <v>1742</v>
      </c>
      <c r="C498" t="s">
        <v>1722</v>
      </c>
      <c r="D498" t="str">
        <f>_xlfn.XLOOKUP(ISIC_Rev_5_english_structure__1[[#This Row],[Column4]],INDUSTRYGROUP!$C$2:$C$23,INDUSTRYGROUP!$D$2:$D$23,"NONE")</f>
        <v>NONE</v>
      </c>
      <c r="E498" t="str">
        <f>_xlfn.XLOOKUP(LEFT(A498,2),SECTOR!$A$2:$A$88,SECTOR!$A$2:$A$88,"")</f>
        <v/>
      </c>
      <c r="F498" t="str">
        <f>_xlfn.XLOOKUP(LEFT(A498,2),SECTOR!$A$2:$A$88,SECTOR!$B$2:$B$88,"")</f>
        <v/>
      </c>
      <c r="G498" t="str">
        <f>_xlfn.XLOOKUP(LEFT(A498,3),INDUSTRY!$A$2:$A$259,INDUSTRY!$A$2:$A$259,"")</f>
        <v/>
      </c>
      <c r="H498" t="str">
        <f>_xlfn.XLOOKUP(LEFT(A498,3),INDUSTRY!$A$2:$A$259,INDUSTRY!$B$2:$B$259,"")</f>
        <v/>
      </c>
      <c r="I498" t="str">
        <f t="shared" si="14"/>
        <v/>
      </c>
      <c r="J498" t="str">
        <f t="shared" si="15"/>
        <v/>
      </c>
    </row>
    <row r="499" spans="1:10" x14ac:dyDescent="0.25">
      <c r="A499" t="s">
        <v>1743</v>
      </c>
      <c r="B499" t="s">
        <v>1744</v>
      </c>
      <c r="C499" t="s">
        <v>1722</v>
      </c>
      <c r="D499" t="str">
        <f>_xlfn.XLOOKUP(ISIC_Rev_5_english_structure__1[[#This Row],[Column4]],INDUSTRYGROUP!$C$2:$C$23,INDUSTRYGROUP!$D$2:$D$23,"NONE")</f>
        <v>NONE</v>
      </c>
      <c r="E499" t="str">
        <f>_xlfn.XLOOKUP(LEFT(A499,2),SECTOR!$A$2:$A$88,SECTOR!$A$2:$A$88,"")</f>
        <v/>
      </c>
      <c r="F499" t="str">
        <f>_xlfn.XLOOKUP(LEFT(A499,2),SECTOR!$A$2:$A$88,SECTOR!$B$2:$B$88,"")</f>
        <v/>
      </c>
      <c r="G499" t="str">
        <f>_xlfn.XLOOKUP(LEFT(A499,3),INDUSTRY!$A$2:$A$259,INDUSTRY!$A$2:$A$259,"")</f>
        <v>561</v>
      </c>
      <c r="H499" t="str">
        <f>_xlfn.XLOOKUP(LEFT(A499,3),INDUSTRY!$A$2:$A$259,INDUSTRY!$B$2:$B$259,"")</f>
        <v>Restaurants and mobile food service activities</v>
      </c>
      <c r="I499" t="str">
        <f t="shared" si="14"/>
        <v/>
      </c>
      <c r="J499" t="str">
        <f t="shared" si="15"/>
        <v/>
      </c>
    </row>
    <row r="500" spans="1:10" x14ac:dyDescent="0.25">
      <c r="A500" t="s">
        <v>1745</v>
      </c>
      <c r="B500" t="s">
        <v>1744</v>
      </c>
      <c r="C500" t="s">
        <v>1722</v>
      </c>
      <c r="D500" t="str">
        <f>_xlfn.XLOOKUP(ISIC_Rev_5_english_structure__1[[#This Row],[Column4]],INDUSTRYGROUP!$C$2:$C$23,INDUSTRYGROUP!$D$2:$D$23,"NONE")</f>
        <v>NONE</v>
      </c>
      <c r="E500" t="str">
        <f>_xlfn.XLOOKUP(LEFT(A500,2),SECTOR!$A$2:$A$88,SECTOR!$A$2:$A$88,"")</f>
        <v/>
      </c>
      <c r="F500" t="str">
        <f>_xlfn.XLOOKUP(LEFT(A500,2),SECTOR!$A$2:$A$88,SECTOR!$B$2:$B$88,"")</f>
        <v/>
      </c>
      <c r="G500" t="str">
        <f>_xlfn.XLOOKUP(LEFT(A500,3),INDUSTRY!$A$2:$A$259,INDUSTRY!$A$2:$A$259,"")</f>
        <v>561</v>
      </c>
      <c r="H500" t="str">
        <f>_xlfn.XLOOKUP(LEFT(A500,3),INDUSTRY!$A$2:$A$259,INDUSTRY!$B$2:$B$259,"")</f>
        <v>Restaurants and mobile food service activities</v>
      </c>
      <c r="I500" t="str">
        <f t="shared" si="14"/>
        <v>5610</v>
      </c>
      <c r="J500" t="str">
        <f t="shared" si="15"/>
        <v>Restaurants and mobile food service activities</v>
      </c>
    </row>
    <row r="501" spans="1:10" x14ac:dyDescent="0.25">
      <c r="A501" t="s">
        <v>1746</v>
      </c>
      <c r="B501" t="s">
        <v>1747</v>
      </c>
      <c r="C501" t="s">
        <v>1722</v>
      </c>
      <c r="D501" t="str">
        <f>_xlfn.XLOOKUP(ISIC_Rev_5_english_structure__1[[#This Row],[Column4]],INDUSTRYGROUP!$C$2:$C$23,INDUSTRYGROUP!$D$2:$D$23,"NONE")</f>
        <v>NONE</v>
      </c>
      <c r="E501" t="str">
        <f>_xlfn.XLOOKUP(LEFT(A501,2),SECTOR!$A$2:$A$88,SECTOR!$A$2:$A$88,"")</f>
        <v/>
      </c>
      <c r="F501" t="str">
        <f>_xlfn.XLOOKUP(LEFT(A501,2),SECTOR!$A$2:$A$88,SECTOR!$B$2:$B$88,"")</f>
        <v/>
      </c>
      <c r="G501" t="str">
        <f>_xlfn.XLOOKUP(LEFT(A501,3),INDUSTRY!$A$2:$A$259,INDUSTRY!$A$2:$A$259,"")</f>
        <v>562</v>
      </c>
      <c r="H501" t="str">
        <f>_xlfn.XLOOKUP(LEFT(A501,3),INDUSTRY!$A$2:$A$259,INDUSTRY!$B$2:$B$259,"")</f>
        <v>Event catering and other food service activities</v>
      </c>
      <c r="I501" t="str">
        <f t="shared" si="14"/>
        <v/>
      </c>
      <c r="J501" t="str">
        <f t="shared" si="15"/>
        <v/>
      </c>
    </row>
    <row r="502" spans="1:10" x14ac:dyDescent="0.25">
      <c r="A502" t="s">
        <v>1748</v>
      </c>
      <c r="B502" t="s">
        <v>1749</v>
      </c>
      <c r="C502" t="s">
        <v>1722</v>
      </c>
      <c r="D502" t="str">
        <f>_xlfn.XLOOKUP(ISIC_Rev_5_english_structure__1[[#This Row],[Column4]],INDUSTRYGROUP!$C$2:$C$23,INDUSTRYGROUP!$D$2:$D$23,"NONE")</f>
        <v>NONE</v>
      </c>
      <c r="E502" t="str">
        <f>_xlfn.XLOOKUP(LEFT(A502,2),SECTOR!$A$2:$A$88,SECTOR!$A$2:$A$88,"")</f>
        <v/>
      </c>
      <c r="F502" t="str">
        <f>_xlfn.XLOOKUP(LEFT(A502,2),SECTOR!$A$2:$A$88,SECTOR!$B$2:$B$88,"")</f>
        <v/>
      </c>
      <c r="G502" t="str">
        <f>_xlfn.XLOOKUP(LEFT(A502,3),INDUSTRY!$A$2:$A$259,INDUSTRY!$A$2:$A$259,"")</f>
        <v>562</v>
      </c>
      <c r="H502" t="str">
        <f>_xlfn.XLOOKUP(LEFT(A502,3),INDUSTRY!$A$2:$A$259,INDUSTRY!$B$2:$B$259,"")</f>
        <v>Event catering and other food service activities</v>
      </c>
      <c r="I502" t="str">
        <f t="shared" si="14"/>
        <v>5621</v>
      </c>
      <c r="J502" t="str">
        <f t="shared" si="15"/>
        <v>Event catering activities</v>
      </c>
    </row>
    <row r="503" spans="1:10" x14ac:dyDescent="0.25">
      <c r="A503" t="s">
        <v>1750</v>
      </c>
      <c r="B503" t="s">
        <v>1751</v>
      </c>
      <c r="C503" t="s">
        <v>1722</v>
      </c>
      <c r="D503" t="str">
        <f>_xlfn.XLOOKUP(ISIC_Rev_5_english_structure__1[[#This Row],[Column4]],INDUSTRYGROUP!$C$2:$C$23,INDUSTRYGROUP!$D$2:$D$23,"NONE")</f>
        <v>NONE</v>
      </c>
      <c r="E503" t="str">
        <f>_xlfn.XLOOKUP(LEFT(A503,2),SECTOR!$A$2:$A$88,SECTOR!$A$2:$A$88,"")</f>
        <v/>
      </c>
      <c r="F503" t="str">
        <f>_xlfn.XLOOKUP(LEFT(A503,2),SECTOR!$A$2:$A$88,SECTOR!$B$2:$B$88,"")</f>
        <v/>
      </c>
      <c r="G503" t="str">
        <f>_xlfn.XLOOKUP(LEFT(A503,3),INDUSTRY!$A$2:$A$259,INDUSTRY!$A$2:$A$259,"")</f>
        <v>562</v>
      </c>
      <c r="H503" t="str">
        <f>_xlfn.XLOOKUP(LEFT(A503,3),INDUSTRY!$A$2:$A$259,INDUSTRY!$B$2:$B$259,"")</f>
        <v>Event catering and other food service activities</v>
      </c>
      <c r="I503" t="str">
        <f t="shared" si="14"/>
        <v>5629</v>
      </c>
      <c r="J503" t="str">
        <f t="shared" si="15"/>
        <v>Other food service activities</v>
      </c>
    </row>
    <row r="504" spans="1:10" x14ac:dyDescent="0.25">
      <c r="A504" t="s">
        <v>1752</v>
      </c>
      <c r="B504" t="s">
        <v>1753</v>
      </c>
      <c r="C504" t="s">
        <v>1722</v>
      </c>
      <c r="D504" t="str">
        <f>_xlfn.XLOOKUP(ISIC_Rev_5_english_structure__1[[#This Row],[Column4]],INDUSTRYGROUP!$C$2:$C$23,INDUSTRYGROUP!$D$2:$D$23,"NONE")</f>
        <v>NONE</v>
      </c>
      <c r="E504" t="str">
        <f>_xlfn.XLOOKUP(LEFT(A504,2),SECTOR!$A$2:$A$88,SECTOR!$A$2:$A$88,"")</f>
        <v/>
      </c>
      <c r="F504" t="str">
        <f>_xlfn.XLOOKUP(LEFT(A504,2),SECTOR!$A$2:$A$88,SECTOR!$B$2:$B$88,"")</f>
        <v/>
      </c>
      <c r="G504" t="str">
        <f>_xlfn.XLOOKUP(LEFT(A504,3),INDUSTRY!$A$2:$A$259,INDUSTRY!$A$2:$A$259,"")</f>
        <v>563</v>
      </c>
      <c r="H504" t="str">
        <f>_xlfn.XLOOKUP(LEFT(A504,3),INDUSTRY!$A$2:$A$259,INDUSTRY!$B$2:$B$259,"")</f>
        <v>Beverage serving activities</v>
      </c>
      <c r="I504" t="str">
        <f t="shared" si="14"/>
        <v/>
      </c>
      <c r="J504" t="str">
        <f t="shared" si="15"/>
        <v/>
      </c>
    </row>
    <row r="505" spans="1:10" x14ac:dyDescent="0.25">
      <c r="A505" t="s">
        <v>1754</v>
      </c>
      <c r="B505" t="s">
        <v>1753</v>
      </c>
      <c r="C505" t="s">
        <v>1722</v>
      </c>
      <c r="D505" t="str">
        <f>_xlfn.XLOOKUP(ISIC_Rev_5_english_structure__1[[#This Row],[Column4]],INDUSTRYGROUP!$C$2:$C$23,INDUSTRYGROUP!$D$2:$D$23,"NONE")</f>
        <v>NONE</v>
      </c>
      <c r="E505" t="str">
        <f>_xlfn.XLOOKUP(LEFT(A505,2),SECTOR!$A$2:$A$88,SECTOR!$A$2:$A$88,"")</f>
        <v/>
      </c>
      <c r="F505" t="str">
        <f>_xlfn.XLOOKUP(LEFT(A505,2),SECTOR!$A$2:$A$88,SECTOR!$B$2:$B$88,"")</f>
        <v/>
      </c>
      <c r="G505" t="str">
        <f>_xlfn.XLOOKUP(LEFT(A505,3),INDUSTRY!$A$2:$A$259,INDUSTRY!$A$2:$A$259,"")</f>
        <v>563</v>
      </c>
      <c r="H505" t="str">
        <f>_xlfn.XLOOKUP(LEFT(A505,3),INDUSTRY!$A$2:$A$259,INDUSTRY!$B$2:$B$259,"")</f>
        <v>Beverage serving activities</v>
      </c>
      <c r="I505" t="str">
        <f t="shared" si="14"/>
        <v>5630</v>
      </c>
      <c r="J505" t="str">
        <f t="shared" si="15"/>
        <v>Beverage serving activities</v>
      </c>
    </row>
    <row r="506" spans="1:10" x14ac:dyDescent="0.25">
      <c r="A506" t="s">
        <v>1755</v>
      </c>
      <c r="B506" t="s">
        <v>1756</v>
      </c>
      <c r="C506" t="s">
        <v>1722</v>
      </c>
      <c r="D506" t="str">
        <f>_xlfn.XLOOKUP(ISIC_Rev_5_english_structure__1[[#This Row],[Column4]],INDUSTRYGROUP!$C$2:$C$23,INDUSTRYGROUP!$D$2:$D$23,"NONE")</f>
        <v>NONE</v>
      </c>
      <c r="E506" t="str">
        <f>_xlfn.XLOOKUP(LEFT(A506,2),SECTOR!$A$2:$A$88,SECTOR!$A$2:$A$88,"")</f>
        <v/>
      </c>
      <c r="F506" t="str">
        <f>_xlfn.XLOOKUP(LEFT(A506,2),SECTOR!$A$2:$A$88,SECTOR!$B$2:$B$88,"")</f>
        <v/>
      </c>
      <c r="G506" t="str">
        <f>_xlfn.XLOOKUP(LEFT(A506,3),INDUSTRY!$A$2:$A$259,INDUSTRY!$A$2:$A$259,"")</f>
        <v>564</v>
      </c>
      <c r="H506" t="str">
        <f>_xlfn.XLOOKUP(LEFT(A506,3),INDUSTRY!$A$2:$A$259,INDUSTRY!$B$2:$B$259,"")</f>
        <v>Intermediation service activities for food and beverage services activities</v>
      </c>
      <c r="I506" t="str">
        <f t="shared" si="14"/>
        <v/>
      </c>
      <c r="J506" t="str">
        <f t="shared" si="15"/>
        <v/>
      </c>
    </row>
    <row r="507" spans="1:10" x14ac:dyDescent="0.25">
      <c r="A507" t="s">
        <v>1757</v>
      </c>
      <c r="B507" t="s">
        <v>1756</v>
      </c>
      <c r="C507" t="s">
        <v>1722</v>
      </c>
      <c r="D507" t="str">
        <f>_xlfn.XLOOKUP(ISIC_Rev_5_english_structure__1[[#This Row],[Column4]],INDUSTRYGROUP!$C$2:$C$23,INDUSTRYGROUP!$D$2:$D$23,"NONE")</f>
        <v>NONE</v>
      </c>
      <c r="E507" t="str">
        <f>_xlfn.XLOOKUP(LEFT(A507,2),SECTOR!$A$2:$A$88,SECTOR!$A$2:$A$88,"")</f>
        <v/>
      </c>
      <c r="F507" t="str">
        <f>_xlfn.XLOOKUP(LEFT(A507,2),SECTOR!$A$2:$A$88,SECTOR!$B$2:$B$88,"")</f>
        <v/>
      </c>
      <c r="G507" t="str">
        <f>_xlfn.XLOOKUP(LEFT(A507,3),INDUSTRY!$A$2:$A$259,INDUSTRY!$A$2:$A$259,"")</f>
        <v>564</v>
      </c>
      <c r="H507" t="str">
        <f>_xlfn.XLOOKUP(LEFT(A507,3),INDUSTRY!$A$2:$A$259,INDUSTRY!$B$2:$B$259,"")</f>
        <v>Intermediation service activities for food and beverage services activities</v>
      </c>
      <c r="I507" t="str">
        <f t="shared" si="14"/>
        <v>5640</v>
      </c>
      <c r="J507" t="str">
        <f t="shared" si="15"/>
        <v>Intermediation service activities for food and beverage services activities</v>
      </c>
    </row>
    <row r="508" spans="1:10" x14ac:dyDescent="0.25">
      <c r="A508" t="s">
        <v>1758</v>
      </c>
      <c r="B508" t="s">
        <v>1759</v>
      </c>
      <c r="C508" t="s">
        <v>1758</v>
      </c>
      <c r="D508" t="str">
        <f>_xlfn.XLOOKUP(ISIC_Rev_5_english_structure__1[[#This Row],[Column4]],INDUSTRYGROUP!$C$2:$C$23,INDUSTRYGROUP!$D$2:$D$23,"NONE")</f>
        <v>NONE</v>
      </c>
      <c r="E508" t="str">
        <f>_xlfn.XLOOKUP(LEFT(A508,2),SECTOR!$A$2:$A$88,SECTOR!$A$2:$A$88,"")</f>
        <v>J</v>
      </c>
      <c r="F508" t="str">
        <f>_xlfn.XLOOKUP(LEFT(A508,2),SECTOR!$A$2:$A$88,SECTOR!$B$2:$B$88,"")</f>
        <v>Publishing, broadcasting, and content production and distribution activities</v>
      </c>
      <c r="G508" t="str">
        <f>_xlfn.XLOOKUP(LEFT(A508,3),INDUSTRY!$A$2:$A$259,INDUSTRY!$A$2:$A$259,"")</f>
        <v/>
      </c>
      <c r="H508" t="str">
        <f>_xlfn.XLOOKUP(LEFT(A508,3),INDUSTRY!$A$2:$A$259,INDUSTRY!$B$2:$B$259,"")</f>
        <v/>
      </c>
      <c r="I508" t="str">
        <f t="shared" si="14"/>
        <v/>
      </c>
      <c r="J508" t="str">
        <f t="shared" si="15"/>
        <v/>
      </c>
    </row>
    <row r="509" spans="1:10" x14ac:dyDescent="0.25">
      <c r="A509" t="s">
        <v>1760</v>
      </c>
      <c r="B509" t="s">
        <v>1761</v>
      </c>
      <c r="C509" t="s">
        <v>1758</v>
      </c>
      <c r="D509" t="str">
        <f>_xlfn.XLOOKUP(ISIC_Rev_5_english_structure__1[[#This Row],[Column4]],INDUSTRYGROUP!$C$2:$C$23,INDUSTRYGROUP!$D$2:$D$23,"NONE")</f>
        <v>NONE</v>
      </c>
      <c r="E509" t="str">
        <f>_xlfn.XLOOKUP(LEFT(A509,2),SECTOR!$A$2:$A$88,SECTOR!$A$2:$A$88,"")</f>
        <v/>
      </c>
      <c r="F509" t="str">
        <f>_xlfn.XLOOKUP(LEFT(A509,2),SECTOR!$A$2:$A$88,SECTOR!$B$2:$B$88,"")</f>
        <v/>
      </c>
      <c r="G509" t="str">
        <f>_xlfn.XLOOKUP(LEFT(A509,3),INDUSTRY!$A$2:$A$259,INDUSTRY!$A$2:$A$259,"")</f>
        <v/>
      </c>
      <c r="H509" t="str">
        <f>_xlfn.XLOOKUP(LEFT(A509,3),INDUSTRY!$A$2:$A$259,INDUSTRY!$B$2:$B$259,"")</f>
        <v/>
      </c>
      <c r="I509" t="str">
        <f t="shared" si="14"/>
        <v/>
      </c>
      <c r="J509" t="str">
        <f t="shared" si="15"/>
        <v/>
      </c>
    </row>
    <row r="510" spans="1:10" x14ac:dyDescent="0.25">
      <c r="A510" t="s">
        <v>1762</v>
      </c>
      <c r="B510" t="s">
        <v>1763</v>
      </c>
      <c r="C510" t="s">
        <v>1758</v>
      </c>
      <c r="D510" t="str">
        <f>_xlfn.XLOOKUP(ISIC_Rev_5_english_structure__1[[#This Row],[Column4]],INDUSTRYGROUP!$C$2:$C$23,INDUSTRYGROUP!$D$2:$D$23,"NONE")</f>
        <v>NONE</v>
      </c>
      <c r="E510" t="str">
        <f>_xlfn.XLOOKUP(LEFT(A510,2),SECTOR!$A$2:$A$88,SECTOR!$A$2:$A$88,"")</f>
        <v/>
      </c>
      <c r="F510" t="str">
        <f>_xlfn.XLOOKUP(LEFT(A510,2),SECTOR!$A$2:$A$88,SECTOR!$B$2:$B$88,"")</f>
        <v/>
      </c>
      <c r="G510" t="str">
        <f>_xlfn.XLOOKUP(LEFT(A510,3),INDUSTRY!$A$2:$A$259,INDUSTRY!$A$2:$A$259,"")</f>
        <v>581</v>
      </c>
      <c r="H510" t="str">
        <f>_xlfn.XLOOKUP(LEFT(A510,3),INDUSTRY!$A$2:$A$259,INDUSTRY!$B$2:$B$259,"")</f>
        <v>Publishing of books, newspapers, periodicals and other publishing activities</v>
      </c>
      <c r="I510" t="str">
        <f t="shared" si="14"/>
        <v/>
      </c>
      <c r="J510" t="str">
        <f t="shared" si="15"/>
        <v/>
      </c>
    </row>
    <row r="511" spans="1:10" x14ac:dyDescent="0.25">
      <c r="A511" t="s">
        <v>1764</v>
      </c>
      <c r="B511" t="s">
        <v>1765</v>
      </c>
      <c r="C511" t="s">
        <v>1758</v>
      </c>
      <c r="D511" t="str">
        <f>_xlfn.XLOOKUP(ISIC_Rev_5_english_structure__1[[#This Row],[Column4]],INDUSTRYGROUP!$C$2:$C$23,INDUSTRYGROUP!$D$2:$D$23,"NONE")</f>
        <v>NONE</v>
      </c>
      <c r="E511" t="str">
        <f>_xlfn.XLOOKUP(LEFT(A511,2),SECTOR!$A$2:$A$88,SECTOR!$A$2:$A$88,"")</f>
        <v/>
      </c>
      <c r="F511" t="str">
        <f>_xlfn.XLOOKUP(LEFT(A511,2),SECTOR!$A$2:$A$88,SECTOR!$B$2:$B$88,"")</f>
        <v/>
      </c>
      <c r="G511" t="str">
        <f>_xlfn.XLOOKUP(LEFT(A511,3),INDUSTRY!$A$2:$A$259,INDUSTRY!$A$2:$A$259,"")</f>
        <v>581</v>
      </c>
      <c r="H511" t="str">
        <f>_xlfn.XLOOKUP(LEFT(A511,3),INDUSTRY!$A$2:$A$259,INDUSTRY!$B$2:$B$259,"")</f>
        <v>Publishing of books, newspapers, periodicals and other publishing activities</v>
      </c>
      <c r="I511" t="str">
        <f t="shared" si="14"/>
        <v>5811</v>
      </c>
      <c r="J511" t="str">
        <f t="shared" si="15"/>
        <v>Publishing of books</v>
      </c>
    </row>
    <row r="512" spans="1:10" x14ac:dyDescent="0.25">
      <c r="A512" t="s">
        <v>1766</v>
      </c>
      <c r="B512" t="s">
        <v>1767</v>
      </c>
      <c r="C512" t="s">
        <v>1758</v>
      </c>
      <c r="D512" t="str">
        <f>_xlfn.XLOOKUP(ISIC_Rev_5_english_structure__1[[#This Row],[Column4]],INDUSTRYGROUP!$C$2:$C$23,INDUSTRYGROUP!$D$2:$D$23,"NONE")</f>
        <v>NONE</v>
      </c>
      <c r="E512" t="str">
        <f>_xlfn.XLOOKUP(LEFT(A512,2),SECTOR!$A$2:$A$88,SECTOR!$A$2:$A$88,"")</f>
        <v/>
      </c>
      <c r="F512" t="str">
        <f>_xlfn.XLOOKUP(LEFT(A512,2),SECTOR!$A$2:$A$88,SECTOR!$B$2:$B$88,"")</f>
        <v/>
      </c>
      <c r="G512" t="str">
        <f>_xlfn.XLOOKUP(LEFT(A512,3),INDUSTRY!$A$2:$A$259,INDUSTRY!$A$2:$A$259,"")</f>
        <v>581</v>
      </c>
      <c r="H512" t="str">
        <f>_xlfn.XLOOKUP(LEFT(A512,3),INDUSTRY!$A$2:$A$259,INDUSTRY!$B$2:$B$259,"")</f>
        <v>Publishing of books, newspapers, periodicals and other publishing activities</v>
      </c>
      <c r="I512" t="str">
        <f t="shared" si="14"/>
        <v>5812</v>
      </c>
      <c r="J512" t="str">
        <f t="shared" si="15"/>
        <v>Publishing of newspapers</v>
      </c>
    </row>
    <row r="513" spans="1:10" x14ac:dyDescent="0.25">
      <c r="A513" t="s">
        <v>1768</v>
      </c>
      <c r="B513" t="s">
        <v>1769</v>
      </c>
      <c r="C513" t="s">
        <v>1758</v>
      </c>
      <c r="D513" t="str">
        <f>_xlfn.XLOOKUP(ISIC_Rev_5_english_structure__1[[#This Row],[Column4]],INDUSTRYGROUP!$C$2:$C$23,INDUSTRYGROUP!$D$2:$D$23,"NONE")</f>
        <v>NONE</v>
      </c>
      <c r="E513" t="str">
        <f>_xlfn.XLOOKUP(LEFT(A513,2),SECTOR!$A$2:$A$88,SECTOR!$A$2:$A$88,"")</f>
        <v/>
      </c>
      <c r="F513" t="str">
        <f>_xlfn.XLOOKUP(LEFT(A513,2),SECTOR!$A$2:$A$88,SECTOR!$B$2:$B$88,"")</f>
        <v/>
      </c>
      <c r="G513" t="str">
        <f>_xlfn.XLOOKUP(LEFT(A513,3),INDUSTRY!$A$2:$A$259,INDUSTRY!$A$2:$A$259,"")</f>
        <v>581</v>
      </c>
      <c r="H513" t="str">
        <f>_xlfn.XLOOKUP(LEFT(A513,3),INDUSTRY!$A$2:$A$259,INDUSTRY!$B$2:$B$259,"")</f>
        <v>Publishing of books, newspapers, periodicals and other publishing activities</v>
      </c>
      <c r="I513" t="str">
        <f t="shared" si="14"/>
        <v>5813</v>
      </c>
      <c r="J513" t="str">
        <f t="shared" si="15"/>
        <v>Publishing of journals and periodicals</v>
      </c>
    </row>
    <row r="514" spans="1:10" x14ac:dyDescent="0.25">
      <c r="A514" t="s">
        <v>1770</v>
      </c>
      <c r="B514" t="s">
        <v>1771</v>
      </c>
      <c r="C514" t="s">
        <v>1758</v>
      </c>
      <c r="D514" t="str">
        <f>_xlfn.XLOOKUP(ISIC_Rev_5_english_structure__1[[#This Row],[Column4]],INDUSTRYGROUP!$C$2:$C$23,INDUSTRYGROUP!$D$2:$D$23,"NONE")</f>
        <v>NONE</v>
      </c>
      <c r="E514" t="str">
        <f>_xlfn.XLOOKUP(LEFT(A514,2),SECTOR!$A$2:$A$88,SECTOR!$A$2:$A$88,"")</f>
        <v/>
      </c>
      <c r="F514" t="str">
        <f>_xlfn.XLOOKUP(LEFT(A514,2),SECTOR!$A$2:$A$88,SECTOR!$B$2:$B$88,"")</f>
        <v/>
      </c>
      <c r="G514" t="str">
        <f>_xlfn.XLOOKUP(LEFT(A514,3),INDUSTRY!$A$2:$A$259,INDUSTRY!$A$2:$A$259,"")</f>
        <v>581</v>
      </c>
      <c r="H514" t="str">
        <f>_xlfn.XLOOKUP(LEFT(A514,3),INDUSTRY!$A$2:$A$259,INDUSTRY!$B$2:$B$259,"")</f>
        <v>Publishing of books, newspapers, periodicals and other publishing activities</v>
      </c>
      <c r="I514" t="str">
        <f t="shared" ref="I514:I577" si="16">IF(LEN(A514)=4,A514,"")</f>
        <v>5819</v>
      </c>
      <c r="J514" t="str">
        <f t="shared" ref="J514:J577" si="17">IF(LEN(A514)=4,B514,"")</f>
        <v>Other publishing activities</v>
      </c>
    </row>
    <row r="515" spans="1:10" x14ac:dyDescent="0.25">
      <c r="A515" t="s">
        <v>1772</v>
      </c>
      <c r="B515" t="s">
        <v>1773</v>
      </c>
      <c r="C515" t="s">
        <v>1758</v>
      </c>
      <c r="D515" t="str">
        <f>_xlfn.XLOOKUP(ISIC_Rev_5_english_structure__1[[#This Row],[Column4]],INDUSTRYGROUP!$C$2:$C$23,INDUSTRYGROUP!$D$2:$D$23,"NONE")</f>
        <v>NONE</v>
      </c>
      <c r="E515" t="str">
        <f>_xlfn.XLOOKUP(LEFT(A515,2),SECTOR!$A$2:$A$88,SECTOR!$A$2:$A$88,"")</f>
        <v/>
      </c>
      <c r="F515" t="str">
        <f>_xlfn.XLOOKUP(LEFT(A515,2),SECTOR!$A$2:$A$88,SECTOR!$B$2:$B$88,"")</f>
        <v/>
      </c>
      <c r="G515" t="str">
        <f>_xlfn.XLOOKUP(LEFT(A515,3),INDUSTRY!$A$2:$A$259,INDUSTRY!$A$2:$A$259,"")</f>
        <v>582</v>
      </c>
      <c r="H515" t="str">
        <f>_xlfn.XLOOKUP(LEFT(A515,3),INDUSTRY!$A$2:$A$259,INDUSTRY!$B$2:$B$259,"")</f>
        <v>Software publishing</v>
      </c>
      <c r="I515" t="str">
        <f t="shared" si="16"/>
        <v/>
      </c>
      <c r="J515" t="str">
        <f t="shared" si="17"/>
        <v/>
      </c>
    </row>
    <row r="516" spans="1:10" x14ac:dyDescent="0.25">
      <c r="A516" t="s">
        <v>1774</v>
      </c>
      <c r="B516" t="s">
        <v>1775</v>
      </c>
      <c r="C516" t="s">
        <v>1758</v>
      </c>
      <c r="D516" t="str">
        <f>_xlfn.XLOOKUP(ISIC_Rev_5_english_structure__1[[#This Row],[Column4]],INDUSTRYGROUP!$C$2:$C$23,INDUSTRYGROUP!$D$2:$D$23,"NONE")</f>
        <v>NONE</v>
      </c>
      <c r="E516" t="str">
        <f>_xlfn.XLOOKUP(LEFT(A516,2),SECTOR!$A$2:$A$88,SECTOR!$A$2:$A$88,"")</f>
        <v/>
      </c>
      <c r="F516" t="str">
        <f>_xlfn.XLOOKUP(LEFT(A516,2),SECTOR!$A$2:$A$88,SECTOR!$B$2:$B$88,"")</f>
        <v/>
      </c>
      <c r="G516" t="str">
        <f>_xlfn.XLOOKUP(LEFT(A516,3),INDUSTRY!$A$2:$A$259,INDUSTRY!$A$2:$A$259,"")</f>
        <v>582</v>
      </c>
      <c r="H516" t="str">
        <f>_xlfn.XLOOKUP(LEFT(A516,3),INDUSTRY!$A$2:$A$259,INDUSTRY!$B$2:$B$259,"")</f>
        <v>Software publishing</v>
      </c>
      <c r="I516" t="str">
        <f t="shared" si="16"/>
        <v>5821</v>
      </c>
      <c r="J516" t="str">
        <f t="shared" si="17"/>
        <v>Publishing of video games</v>
      </c>
    </row>
    <row r="517" spans="1:10" x14ac:dyDescent="0.25">
      <c r="A517" t="s">
        <v>1776</v>
      </c>
      <c r="B517" t="s">
        <v>1777</v>
      </c>
      <c r="C517" t="s">
        <v>1758</v>
      </c>
      <c r="D517" t="str">
        <f>_xlfn.XLOOKUP(ISIC_Rev_5_english_structure__1[[#This Row],[Column4]],INDUSTRYGROUP!$C$2:$C$23,INDUSTRYGROUP!$D$2:$D$23,"NONE")</f>
        <v>NONE</v>
      </c>
      <c r="E517" t="str">
        <f>_xlfn.XLOOKUP(LEFT(A517,2),SECTOR!$A$2:$A$88,SECTOR!$A$2:$A$88,"")</f>
        <v/>
      </c>
      <c r="F517" t="str">
        <f>_xlfn.XLOOKUP(LEFT(A517,2),SECTOR!$A$2:$A$88,SECTOR!$B$2:$B$88,"")</f>
        <v/>
      </c>
      <c r="G517" t="str">
        <f>_xlfn.XLOOKUP(LEFT(A517,3),INDUSTRY!$A$2:$A$259,INDUSTRY!$A$2:$A$259,"")</f>
        <v>582</v>
      </c>
      <c r="H517" t="str">
        <f>_xlfn.XLOOKUP(LEFT(A517,3),INDUSTRY!$A$2:$A$259,INDUSTRY!$B$2:$B$259,"")</f>
        <v>Software publishing</v>
      </c>
      <c r="I517" t="str">
        <f t="shared" si="16"/>
        <v>5829</v>
      </c>
      <c r="J517" t="str">
        <f t="shared" si="17"/>
        <v>Other software publishing</v>
      </c>
    </row>
    <row r="518" spans="1:10" x14ac:dyDescent="0.25">
      <c r="A518" t="s">
        <v>1778</v>
      </c>
      <c r="B518" t="s">
        <v>1779</v>
      </c>
      <c r="C518" t="s">
        <v>1758</v>
      </c>
      <c r="D518" t="str">
        <f>_xlfn.XLOOKUP(ISIC_Rev_5_english_structure__1[[#This Row],[Column4]],INDUSTRYGROUP!$C$2:$C$23,INDUSTRYGROUP!$D$2:$D$23,"NONE")</f>
        <v>NONE</v>
      </c>
      <c r="E518" t="str">
        <f>_xlfn.XLOOKUP(LEFT(A518,2),SECTOR!$A$2:$A$88,SECTOR!$A$2:$A$88,"")</f>
        <v/>
      </c>
      <c r="F518" t="str">
        <f>_xlfn.XLOOKUP(LEFT(A518,2),SECTOR!$A$2:$A$88,SECTOR!$B$2:$B$88,"")</f>
        <v/>
      </c>
      <c r="G518" t="str">
        <f>_xlfn.XLOOKUP(LEFT(A518,3),INDUSTRY!$A$2:$A$259,INDUSTRY!$A$2:$A$259,"")</f>
        <v/>
      </c>
      <c r="H518" t="str">
        <f>_xlfn.XLOOKUP(LEFT(A518,3),INDUSTRY!$A$2:$A$259,INDUSTRY!$B$2:$B$259,"")</f>
        <v/>
      </c>
      <c r="I518" t="str">
        <f t="shared" si="16"/>
        <v/>
      </c>
      <c r="J518" t="str">
        <f t="shared" si="17"/>
        <v/>
      </c>
    </row>
    <row r="519" spans="1:10" x14ac:dyDescent="0.25">
      <c r="A519" t="s">
        <v>1780</v>
      </c>
      <c r="B519" t="s">
        <v>1781</v>
      </c>
      <c r="C519" t="s">
        <v>1758</v>
      </c>
      <c r="D519" t="str">
        <f>_xlfn.XLOOKUP(ISIC_Rev_5_english_structure__1[[#This Row],[Column4]],INDUSTRYGROUP!$C$2:$C$23,INDUSTRYGROUP!$D$2:$D$23,"NONE")</f>
        <v>NONE</v>
      </c>
      <c r="E519" t="str">
        <f>_xlfn.XLOOKUP(LEFT(A519,2),SECTOR!$A$2:$A$88,SECTOR!$A$2:$A$88,"")</f>
        <v/>
      </c>
      <c r="F519" t="str">
        <f>_xlfn.XLOOKUP(LEFT(A519,2),SECTOR!$A$2:$A$88,SECTOR!$B$2:$B$88,"")</f>
        <v/>
      </c>
      <c r="G519" t="str">
        <f>_xlfn.XLOOKUP(LEFT(A519,3),INDUSTRY!$A$2:$A$259,INDUSTRY!$A$2:$A$259,"")</f>
        <v>591</v>
      </c>
      <c r="H519" t="str">
        <f>_xlfn.XLOOKUP(LEFT(A519,3),INDUSTRY!$A$2:$A$259,INDUSTRY!$B$2:$B$259,"")</f>
        <v>Motion picture, video and television programme activities</v>
      </c>
      <c r="I519" t="str">
        <f t="shared" si="16"/>
        <v/>
      </c>
      <c r="J519" t="str">
        <f t="shared" si="17"/>
        <v/>
      </c>
    </row>
    <row r="520" spans="1:10" x14ac:dyDescent="0.25">
      <c r="A520" t="s">
        <v>1782</v>
      </c>
      <c r="B520" t="s">
        <v>1783</v>
      </c>
      <c r="C520" t="s">
        <v>1758</v>
      </c>
      <c r="D520" t="str">
        <f>_xlfn.XLOOKUP(ISIC_Rev_5_english_structure__1[[#This Row],[Column4]],INDUSTRYGROUP!$C$2:$C$23,INDUSTRYGROUP!$D$2:$D$23,"NONE")</f>
        <v>NONE</v>
      </c>
      <c r="E520" t="str">
        <f>_xlfn.XLOOKUP(LEFT(A520,2),SECTOR!$A$2:$A$88,SECTOR!$A$2:$A$88,"")</f>
        <v/>
      </c>
      <c r="F520" t="str">
        <f>_xlfn.XLOOKUP(LEFT(A520,2),SECTOR!$A$2:$A$88,SECTOR!$B$2:$B$88,"")</f>
        <v/>
      </c>
      <c r="G520" t="str">
        <f>_xlfn.XLOOKUP(LEFT(A520,3),INDUSTRY!$A$2:$A$259,INDUSTRY!$A$2:$A$259,"")</f>
        <v>591</v>
      </c>
      <c r="H520" t="str">
        <f>_xlfn.XLOOKUP(LEFT(A520,3),INDUSTRY!$A$2:$A$259,INDUSTRY!$B$2:$B$259,"")</f>
        <v>Motion picture, video and television programme activities</v>
      </c>
      <c r="I520" t="str">
        <f t="shared" si="16"/>
        <v>5911</v>
      </c>
      <c r="J520" t="str">
        <f t="shared" si="17"/>
        <v>Motion picture, video and television programme production activities</v>
      </c>
    </row>
    <row r="521" spans="1:10" x14ac:dyDescent="0.25">
      <c r="A521" t="s">
        <v>1784</v>
      </c>
      <c r="B521" t="s">
        <v>1785</v>
      </c>
      <c r="C521" t="s">
        <v>1758</v>
      </c>
      <c r="D521" t="str">
        <f>_xlfn.XLOOKUP(ISIC_Rev_5_english_structure__1[[#This Row],[Column4]],INDUSTRYGROUP!$C$2:$C$23,INDUSTRYGROUP!$D$2:$D$23,"NONE")</f>
        <v>NONE</v>
      </c>
      <c r="E521" t="str">
        <f>_xlfn.XLOOKUP(LEFT(A521,2),SECTOR!$A$2:$A$88,SECTOR!$A$2:$A$88,"")</f>
        <v/>
      </c>
      <c r="F521" t="str">
        <f>_xlfn.XLOOKUP(LEFT(A521,2),SECTOR!$A$2:$A$88,SECTOR!$B$2:$B$88,"")</f>
        <v/>
      </c>
      <c r="G521" t="str">
        <f>_xlfn.XLOOKUP(LEFT(A521,3),INDUSTRY!$A$2:$A$259,INDUSTRY!$A$2:$A$259,"")</f>
        <v>591</v>
      </c>
      <c r="H521" t="str">
        <f>_xlfn.XLOOKUP(LEFT(A521,3),INDUSTRY!$A$2:$A$259,INDUSTRY!$B$2:$B$259,"")</f>
        <v>Motion picture, video and television programme activities</v>
      </c>
      <c r="I521" t="str">
        <f t="shared" si="16"/>
        <v>5912</v>
      </c>
      <c r="J521" t="str">
        <f t="shared" si="17"/>
        <v>Motion picture, video and television programme post-production activities</v>
      </c>
    </row>
    <row r="522" spans="1:10" x14ac:dyDescent="0.25">
      <c r="A522" t="s">
        <v>1786</v>
      </c>
      <c r="B522" t="s">
        <v>1787</v>
      </c>
      <c r="C522" t="s">
        <v>1758</v>
      </c>
      <c r="D522" t="str">
        <f>_xlfn.XLOOKUP(ISIC_Rev_5_english_structure__1[[#This Row],[Column4]],INDUSTRYGROUP!$C$2:$C$23,INDUSTRYGROUP!$D$2:$D$23,"NONE")</f>
        <v>NONE</v>
      </c>
      <c r="E522" t="str">
        <f>_xlfn.XLOOKUP(LEFT(A522,2),SECTOR!$A$2:$A$88,SECTOR!$A$2:$A$88,"")</f>
        <v/>
      </c>
      <c r="F522" t="str">
        <f>_xlfn.XLOOKUP(LEFT(A522,2),SECTOR!$A$2:$A$88,SECTOR!$B$2:$B$88,"")</f>
        <v/>
      </c>
      <c r="G522" t="str">
        <f>_xlfn.XLOOKUP(LEFT(A522,3),INDUSTRY!$A$2:$A$259,INDUSTRY!$A$2:$A$259,"")</f>
        <v>591</v>
      </c>
      <c r="H522" t="str">
        <f>_xlfn.XLOOKUP(LEFT(A522,3),INDUSTRY!$A$2:$A$259,INDUSTRY!$B$2:$B$259,"")</f>
        <v>Motion picture, video and television programme activities</v>
      </c>
      <c r="I522" t="str">
        <f t="shared" si="16"/>
        <v>5913</v>
      </c>
      <c r="J522" t="str">
        <f t="shared" si="17"/>
        <v>Motion picture, video and television programme distribution activities</v>
      </c>
    </row>
    <row r="523" spans="1:10" x14ac:dyDescent="0.25">
      <c r="A523" t="s">
        <v>1788</v>
      </c>
      <c r="B523" t="s">
        <v>1789</v>
      </c>
      <c r="C523" t="s">
        <v>1758</v>
      </c>
      <c r="D523" t="str">
        <f>_xlfn.XLOOKUP(ISIC_Rev_5_english_structure__1[[#This Row],[Column4]],INDUSTRYGROUP!$C$2:$C$23,INDUSTRYGROUP!$D$2:$D$23,"NONE")</f>
        <v>NONE</v>
      </c>
      <c r="E523" t="str">
        <f>_xlfn.XLOOKUP(LEFT(A523,2),SECTOR!$A$2:$A$88,SECTOR!$A$2:$A$88,"")</f>
        <v/>
      </c>
      <c r="F523" t="str">
        <f>_xlfn.XLOOKUP(LEFT(A523,2),SECTOR!$A$2:$A$88,SECTOR!$B$2:$B$88,"")</f>
        <v/>
      </c>
      <c r="G523" t="str">
        <f>_xlfn.XLOOKUP(LEFT(A523,3),INDUSTRY!$A$2:$A$259,INDUSTRY!$A$2:$A$259,"")</f>
        <v>591</v>
      </c>
      <c r="H523" t="str">
        <f>_xlfn.XLOOKUP(LEFT(A523,3),INDUSTRY!$A$2:$A$259,INDUSTRY!$B$2:$B$259,"")</f>
        <v>Motion picture, video and television programme activities</v>
      </c>
      <c r="I523" t="str">
        <f t="shared" si="16"/>
        <v>5914</v>
      </c>
      <c r="J523" t="str">
        <f t="shared" si="17"/>
        <v>Motion picture projection activities</v>
      </c>
    </row>
    <row r="524" spans="1:10" x14ac:dyDescent="0.25">
      <c r="A524" t="s">
        <v>1790</v>
      </c>
      <c r="B524" t="s">
        <v>1791</v>
      </c>
      <c r="C524" t="s">
        <v>1758</v>
      </c>
      <c r="D524" t="str">
        <f>_xlfn.XLOOKUP(ISIC_Rev_5_english_structure__1[[#This Row],[Column4]],INDUSTRYGROUP!$C$2:$C$23,INDUSTRYGROUP!$D$2:$D$23,"NONE")</f>
        <v>NONE</v>
      </c>
      <c r="E524" t="str">
        <f>_xlfn.XLOOKUP(LEFT(A524,2),SECTOR!$A$2:$A$88,SECTOR!$A$2:$A$88,"")</f>
        <v/>
      </c>
      <c r="F524" t="str">
        <f>_xlfn.XLOOKUP(LEFT(A524,2),SECTOR!$A$2:$A$88,SECTOR!$B$2:$B$88,"")</f>
        <v/>
      </c>
      <c r="G524" t="str">
        <f>_xlfn.XLOOKUP(LEFT(A524,3),INDUSTRY!$A$2:$A$259,INDUSTRY!$A$2:$A$259,"")</f>
        <v>592</v>
      </c>
      <c r="H524" t="str">
        <f>_xlfn.XLOOKUP(LEFT(A524,3),INDUSTRY!$A$2:$A$259,INDUSTRY!$B$2:$B$259,"")</f>
        <v>Sound recording and music publishing activities</v>
      </c>
      <c r="I524" t="str">
        <f t="shared" si="16"/>
        <v/>
      </c>
      <c r="J524" t="str">
        <f t="shared" si="17"/>
        <v/>
      </c>
    </row>
    <row r="525" spans="1:10" x14ac:dyDescent="0.25">
      <c r="A525" t="s">
        <v>1792</v>
      </c>
      <c r="B525" t="s">
        <v>1791</v>
      </c>
      <c r="C525" t="s">
        <v>1758</v>
      </c>
      <c r="D525" t="str">
        <f>_xlfn.XLOOKUP(ISIC_Rev_5_english_structure__1[[#This Row],[Column4]],INDUSTRYGROUP!$C$2:$C$23,INDUSTRYGROUP!$D$2:$D$23,"NONE")</f>
        <v>NONE</v>
      </c>
      <c r="E525" t="str">
        <f>_xlfn.XLOOKUP(LEFT(A525,2),SECTOR!$A$2:$A$88,SECTOR!$A$2:$A$88,"")</f>
        <v/>
      </c>
      <c r="F525" t="str">
        <f>_xlfn.XLOOKUP(LEFT(A525,2),SECTOR!$A$2:$A$88,SECTOR!$B$2:$B$88,"")</f>
        <v/>
      </c>
      <c r="G525" t="str">
        <f>_xlfn.XLOOKUP(LEFT(A525,3),INDUSTRY!$A$2:$A$259,INDUSTRY!$A$2:$A$259,"")</f>
        <v>592</v>
      </c>
      <c r="H525" t="str">
        <f>_xlfn.XLOOKUP(LEFT(A525,3),INDUSTRY!$A$2:$A$259,INDUSTRY!$B$2:$B$259,"")</f>
        <v>Sound recording and music publishing activities</v>
      </c>
      <c r="I525" t="str">
        <f t="shared" si="16"/>
        <v>5920</v>
      </c>
      <c r="J525" t="str">
        <f t="shared" si="17"/>
        <v>Sound recording and music publishing activities</v>
      </c>
    </row>
    <row r="526" spans="1:10" x14ac:dyDescent="0.25">
      <c r="A526" t="s">
        <v>1793</v>
      </c>
      <c r="B526" t="s">
        <v>1794</v>
      </c>
      <c r="C526" t="s">
        <v>1758</v>
      </c>
      <c r="D526" t="str">
        <f>_xlfn.XLOOKUP(ISIC_Rev_5_english_structure__1[[#This Row],[Column4]],INDUSTRYGROUP!$C$2:$C$23,INDUSTRYGROUP!$D$2:$D$23,"NONE")</f>
        <v>NONE</v>
      </c>
      <c r="E526" t="str">
        <f>_xlfn.XLOOKUP(LEFT(A526,2),SECTOR!$A$2:$A$88,SECTOR!$A$2:$A$88,"")</f>
        <v/>
      </c>
      <c r="F526" t="str">
        <f>_xlfn.XLOOKUP(LEFT(A526,2),SECTOR!$A$2:$A$88,SECTOR!$B$2:$B$88,"")</f>
        <v/>
      </c>
      <c r="G526" t="str">
        <f>_xlfn.XLOOKUP(LEFT(A526,3),INDUSTRY!$A$2:$A$259,INDUSTRY!$A$2:$A$259,"")</f>
        <v/>
      </c>
      <c r="H526" t="str">
        <f>_xlfn.XLOOKUP(LEFT(A526,3),INDUSTRY!$A$2:$A$259,INDUSTRY!$B$2:$B$259,"")</f>
        <v/>
      </c>
      <c r="I526" t="str">
        <f t="shared" si="16"/>
        <v/>
      </c>
      <c r="J526" t="str">
        <f t="shared" si="17"/>
        <v/>
      </c>
    </row>
    <row r="527" spans="1:10" x14ac:dyDescent="0.25">
      <c r="A527" t="s">
        <v>1795</v>
      </c>
      <c r="B527" t="s">
        <v>1796</v>
      </c>
      <c r="C527" t="s">
        <v>1758</v>
      </c>
      <c r="D527" t="str">
        <f>_xlfn.XLOOKUP(ISIC_Rev_5_english_structure__1[[#This Row],[Column4]],INDUSTRYGROUP!$C$2:$C$23,INDUSTRYGROUP!$D$2:$D$23,"NONE")</f>
        <v>NONE</v>
      </c>
      <c r="E527" t="str">
        <f>_xlfn.XLOOKUP(LEFT(A527,2),SECTOR!$A$2:$A$88,SECTOR!$A$2:$A$88,"")</f>
        <v/>
      </c>
      <c r="F527" t="str">
        <f>_xlfn.XLOOKUP(LEFT(A527,2),SECTOR!$A$2:$A$88,SECTOR!$B$2:$B$88,"")</f>
        <v/>
      </c>
      <c r="G527" t="str">
        <f>_xlfn.XLOOKUP(LEFT(A527,3),INDUSTRY!$A$2:$A$259,INDUSTRY!$A$2:$A$259,"")</f>
        <v>601</v>
      </c>
      <c r="H527" t="str">
        <f>_xlfn.XLOOKUP(LEFT(A527,3),INDUSTRY!$A$2:$A$259,INDUSTRY!$B$2:$B$259,"")</f>
        <v>Radio broadcasting and audio distribution activities</v>
      </c>
      <c r="I527" t="str">
        <f t="shared" si="16"/>
        <v/>
      </c>
      <c r="J527" t="str">
        <f t="shared" si="17"/>
        <v/>
      </c>
    </row>
    <row r="528" spans="1:10" x14ac:dyDescent="0.25">
      <c r="A528" t="s">
        <v>1797</v>
      </c>
      <c r="B528" t="s">
        <v>1796</v>
      </c>
      <c r="C528" t="s">
        <v>1758</v>
      </c>
      <c r="D528" t="str">
        <f>_xlfn.XLOOKUP(ISIC_Rev_5_english_structure__1[[#This Row],[Column4]],INDUSTRYGROUP!$C$2:$C$23,INDUSTRYGROUP!$D$2:$D$23,"NONE")</f>
        <v>NONE</v>
      </c>
      <c r="E528" t="str">
        <f>_xlfn.XLOOKUP(LEFT(A528,2),SECTOR!$A$2:$A$88,SECTOR!$A$2:$A$88,"")</f>
        <v/>
      </c>
      <c r="F528" t="str">
        <f>_xlfn.XLOOKUP(LEFT(A528,2),SECTOR!$A$2:$A$88,SECTOR!$B$2:$B$88,"")</f>
        <v/>
      </c>
      <c r="G528" t="str">
        <f>_xlfn.XLOOKUP(LEFT(A528,3),INDUSTRY!$A$2:$A$259,INDUSTRY!$A$2:$A$259,"")</f>
        <v>601</v>
      </c>
      <c r="H528" t="str">
        <f>_xlfn.XLOOKUP(LEFT(A528,3),INDUSTRY!$A$2:$A$259,INDUSTRY!$B$2:$B$259,"")</f>
        <v>Radio broadcasting and audio distribution activities</v>
      </c>
      <c r="I528" t="str">
        <f t="shared" si="16"/>
        <v>6010</v>
      </c>
      <c r="J528" t="str">
        <f t="shared" si="17"/>
        <v>Radio broadcasting and audio distribution activities</v>
      </c>
    </row>
    <row r="529" spans="1:10" x14ac:dyDescent="0.25">
      <c r="A529" t="s">
        <v>1798</v>
      </c>
      <c r="B529" t="s">
        <v>1799</v>
      </c>
      <c r="C529" t="s">
        <v>1758</v>
      </c>
      <c r="D529" t="str">
        <f>_xlfn.XLOOKUP(ISIC_Rev_5_english_structure__1[[#This Row],[Column4]],INDUSTRYGROUP!$C$2:$C$23,INDUSTRYGROUP!$D$2:$D$23,"NONE")</f>
        <v>NONE</v>
      </c>
      <c r="E529" t="str">
        <f>_xlfn.XLOOKUP(LEFT(A529,2),SECTOR!$A$2:$A$88,SECTOR!$A$2:$A$88,"")</f>
        <v/>
      </c>
      <c r="F529" t="str">
        <f>_xlfn.XLOOKUP(LEFT(A529,2),SECTOR!$A$2:$A$88,SECTOR!$B$2:$B$88,"")</f>
        <v/>
      </c>
      <c r="G529" t="str">
        <f>_xlfn.XLOOKUP(LEFT(A529,3),INDUSTRY!$A$2:$A$259,INDUSTRY!$A$2:$A$259,"")</f>
        <v>602</v>
      </c>
      <c r="H529" t="str">
        <f>_xlfn.XLOOKUP(LEFT(A529,3),INDUSTRY!$A$2:$A$259,INDUSTRY!$B$2:$B$259,"")</f>
        <v>Television programming, broadcasting and video distribution activities</v>
      </c>
      <c r="I529" t="str">
        <f t="shared" si="16"/>
        <v/>
      </c>
      <c r="J529" t="str">
        <f t="shared" si="17"/>
        <v/>
      </c>
    </row>
    <row r="530" spans="1:10" x14ac:dyDescent="0.25">
      <c r="A530" t="s">
        <v>1800</v>
      </c>
      <c r="B530" t="s">
        <v>1799</v>
      </c>
      <c r="C530" t="s">
        <v>1758</v>
      </c>
      <c r="D530" t="str">
        <f>_xlfn.XLOOKUP(ISIC_Rev_5_english_structure__1[[#This Row],[Column4]],INDUSTRYGROUP!$C$2:$C$23,INDUSTRYGROUP!$D$2:$D$23,"NONE")</f>
        <v>NONE</v>
      </c>
      <c r="E530" t="str">
        <f>_xlfn.XLOOKUP(LEFT(A530,2),SECTOR!$A$2:$A$88,SECTOR!$A$2:$A$88,"")</f>
        <v/>
      </c>
      <c r="F530" t="str">
        <f>_xlfn.XLOOKUP(LEFT(A530,2),SECTOR!$A$2:$A$88,SECTOR!$B$2:$B$88,"")</f>
        <v/>
      </c>
      <c r="G530" t="str">
        <f>_xlfn.XLOOKUP(LEFT(A530,3),INDUSTRY!$A$2:$A$259,INDUSTRY!$A$2:$A$259,"")</f>
        <v>602</v>
      </c>
      <c r="H530" t="str">
        <f>_xlfn.XLOOKUP(LEFT(A530,3),INDUSTRY!$A$2:$A$259,INDUSTRY!$B$2:$B$259,"")</f>
        <v>Television programming, broadcasting and video distribution activities</v>
      </c>
      <c r="I530" t="str">
        <f t="shared" si="16"/>
        <v>6020</v>
      </c>
      <c r="J530" t="str">
        <f t="shared" si="17"/>
        <v>Television programming, broadcasting and video distribution activities</v>
      </c>
    </row>
    <row r="531" spans="1:10" x14ac:dyDescent="0.25">
      <c r="A531" t="s">
        <v>1801</v>
      </c>
      <c r="B531" t="s">
        <v>1802</v>
      </c>
      <c r="C531" t="s">
        <v>1758</v>
      </c>
      <c r="D531" t="str">
        <f>_xlfn.XLOOKUP(ISIC_Rev_5_english_structure__1[[#This Row],[Column4]],INDUSTRYGROUP!$C$2:$C$23,INDUSTRYGROUP!$D$2:$D$23,"NONE")</f>
        <v>NONE</v>
      </c>
      <c r="E531" t="str">
        <f>_xlfn.XLOOKUP(LEFT(A531,2),SECTOR!$A$2:$A$88,SECTOR!$A$2:$A$88,"")</f>
        <v/>
      </c>
      <c r="F531" t="str">
        <f>_xlfn.XLOOKUP(LEFT(A531,2),SECTOR!$A$2:$A$88,SECTOR!$B$2:$B$88,"")</f>
        <v/>
      </c>
      <c r="G531" t="str">
        <f>_xlfn.XLOOKUP(LEFT(A531,3),INDUSTRY!$A$2:$A$259,INDUSTRY!$A$2:$A$259,"")</f>
        <v>603</v>
      </c>
      <c r="H531" t="str">
        <f>_xlfn.XLOOKUP(LEFT(A531,3),INDUSTRY!$A$2:$A$259,INDUSTRY!$B$2:$B$259,"")</f>
        <v>News agency and other content distribution activities</v>
      </c>
      <c r="I531" t="str">
        <f t="shared" si="16"/>
        <v/>
      </c>
      <c r="J531" t="str">
        <f t="shared" si="17"/>
        <v/>
      </c>
    </row>
    <row r="532" spans="1:10" x14ac:dyDescent="0.25">
      <c r="A532" t="s">
        <v>1803</v>
      </c>
      <c r="B532" t="s">
        <v>1804</v>
      </c>
      <c r="C532" t="s">
        <v>1758</v>
      </c>
      <c r="D532" t="str">
        <f>_xlfn.XLOOKUP(ISIC_Rev_5_english_structure__1[[#This Row],[Column4]],INDUSTRYGROUP!$C$2:$C$23,INDUSTRYGROUP!$D$2:$D$23,"NONE")</f>
        <v>NONE</v>
      </c>
      <c r="E532" t="str">
        <f>_xlfn.XLOOKUP(LEFT(A532,2),SECTOR!$A$2:$A$88,SECTOR!$A$2:$A$88,"")</f>
        <v/>
      </c>
      <c r="F532" t="str">
        <f>_xlfn.XLOOKUP(LEFT(A532,2),SECTOR!$A$2:$A$88,SECTOR!$B$2:$B$88,"")</f>
        <v/>
      </c>
      <c r="G532" t="str">
        <f>_xlfn.XLOOKUP(LEFT(A532,3),INDUSTRY!$A$2:$A$259,INDUSTRY!$A$2:$A$259,"")</f>
        <v>603</v>
      </c>
      <c r="H532" t="str">
        <f>_xlfn.XLOOKUP(LEFT(A532,3),INDUSTRY!$A$2:$A$259,INDUSTRY!$B$2:$B$259,"")</f>
        <v>News agency and other content distribution activities</v>
      </c>
      <c r="I532" t="str">
        <f t="shared" si="16"/>
        <v>6031</v>
      </c>
      <c r="J532" t="str">
        <f t="shared" si="17"/>
        <v>News agency activities</v>
      </c>
    </row>
    <row r="533" spans="1:10" x14ac:dyDescent="0.25">
      <c r="A533" t="s">
        <v>1805</v>
      </c>
      <c r="B533" t="s">
        <v>1806</v>
      </c>
      <c r="C533" t="s">
        <v>1758</v>
      </c>
      <c r="D533" t="str">
        <f>_xlfn.XLOOKUP(ISIC_Rev_5_english_structure__1[[#This Row],[Column4]],INDUSTRYGROUP!$C$2:$C$23,INDUSTRYGROUP!$D$2:$D$23,"NONE")</f>
        <v>NONE</v>
      </c>
      <c r="E533" t="str">
        <f>_xlfn.XLOOKUP(LEFT(A533,2),SECTOR!$A$2:$A$88,SECTOR!$A$2:$A$88,"")</f>
        <v/>
      </c>
      <c r="F533" t="str">
        <f>_xlfn.XLOOKUP(LEFT(A533,2),SECTOR!$A$2:$A$88,SECTOR!$B$2:$B$88,"")</f>
        <v/>
      </c>
      <c r="G533" t="str">
        <f>_xlfn.XLOOKUP(LEFT(A533,3),INDUSTRY!$A$2:$A$259,INDUSTRY!$A$2:$A$259,"")</f>
        <v>603</v>
      </c>
      <c r="H533" t="str">
        <f>_xlfn.XLOOKUP(LEFT(A533,3),INDUSTRY!$A$2:$A$259,INDUSTRY!$B$2:$B$259,"")</f>
        <v>News agency and other content distribution activities</v>
      </c>
      <c r="I533" t="str">
        <f t="shared" si="16"/>
        <v>6039</v>
      </c>
      <c r="J533" t="str">
        <f t="shared" si="17"/>
        <v>Social network sites and other content distribution activities</v>
      </c>
    </row>
    <row r="534" spans="1:10" x14ac:dyDescent="0.25">
      <c r="A534" t="s">
        <v>1807</v>
      </c>
      <c r="B534" t="s">
        <v>1808</v>
      </c>
      <c r="C534" t="s">
        <v>1807</v>
      </c>
      <c r="D534" t="str">
        <f>_xlfn.XLOOKUP(ISIC_Rev_5_english_structure__1[[#This Row],[Column4]],INDUSTRYGROUP!$C$2:$C$23,INDUSTRYGROUP!$D$2:$D$23,"NONE")</f>
        <v>NONE</v>
      </c>
      <c r="E534" t="str">
        <f>_xlfn.XLOOKUP(LEFT(A534,2),SECTOR!$A$2:$A$88,SECTOR!$A$2:$A$88,"")</f>
        <v>K</v>
      </c>
      <c r="F534" t="str">
        <f>_xlfn.XLOOKUP(LEFT(A534,2),SECTOR!$A$2:$A$88,SECTOR!$B$2:$B$88,"")</f>
        <v>Telecommunications, computer programming, consultancy, computing infrastructure, and other information service activities</v>
      </c>
      <c r="G534" t="str">
        <f>_xlfn.XLOOKUP(LEFT(A534,3),INDUSTRY!$A$2:$A$259,INDUSTRY!$A$2:$A$259,"")</f>
        <v/>
      </c>
      <c r="H534" t="str">
        <f>_xlfn.XLOOKUP(LEFT(A534,3),INDUSTRY!$A$2:$A$259,INDUSTRY!$B$2:$B$259,"")</f>
        <v/>
      </c>
      <c r="I534" t="str">
        <f t="shared" si="16"/>
        <v/>
      </c>
      <c r="J534" t="str">
        <f t="shared" si="17"/>
        <v/>
      </c>
    </row>
    <row r="535" spans="1:10" x14ac:dyDescent="0.25">
      <c r="A535" t="s">
        <v>1809</v>
      </c>
      <c r="B535" t="s">
        <v>1810</v>
      </c>
      <c r="C535" t="s">
        <v>1807</v>
      </c>
      <c r="D535" t="str">
        <f>_xlfn.XLOOKUP(ISIC_Rev_5_english_structure__1[[#This Row],[Column4]],INDUSTRYGROUP!$C$2:$C$23,INDUSTRYGROUP!$D$2:$D$23,"NONE")</f>
        <v>NONE</v>
      </c>
      <c r="E535" t="str">
        <f>_xlfn.XLOOKUP(LEFT(A535,2),SECTOR!$A$2:$A$88,SECTOR!$A$2:$A$88,"")</f>
        <v/>
      </c>
      <c r="F535" t="str">
        <f>_xlfn.XLOOKUP(LEFT(A535,2),SECTOR!$A$2:$A$88,SECTOR!$B$2:$B$88,"")</f>
        <v/>
      </c>
      <c r="G535" t="str">
        <f>_xlfn.XLOOKUP(LEFT(A535,3),INDUSTRY!$A$2:$A$259,INDUSTRY!$A$2:$A$259,"")</f>
        <v/>
      </c>
      <c r="H535" t="str">
        <f>_xlfn.XLOOKUP(LEFT(A535,3),INDUSTRY!$A$2:$A$259,INDUSTRY!$B$2:$B$259,"")</f>
        <v/>
      </c>
      <c r="I535" t="str">
        <f t="shared" si="16"/>
        <v/>
      </c>
      <c r="J535" t="str">
        <f t="shared" si="17"/>
        <v/>
      </c>
    </row>
    <row r="536" spans="1:10" x14ac:dyDescent="0.25">
      <c r="A536" t="s">
        <v>1811</v>
      </c>
      <c r="B536" t="s">
        <v>1812</v>
      </c>
      <c r="C536" t="s">
        <v>1807</v>
      </c>
      <c r="D536" t="str">
        <f>_xlfn.XLOOKUP(ISIC_Rev_5_english_structure__1[[#This Row],[Column4]],INDUSTRYGROUP!$C$2:$C$23,INDUSTRYGROUP!$D$2:$D$23,"NONE")</f>
        <v>NONE</v>
      </c>
      <c r="E536" t="str">
        <f>_xlfn.XLOOKUP(LEFT(A536,2),SECTOR!$A$2:$A$88,SECTOR!$A$2:$A$88,"")</f>
        <v/>
      </c>
      <c r="F536" t="str">
        <f>_xlfn.XLOOKUP(LEFT(A536,2),SECTOR!$A$2:$A$88,SECTOR!$B$2:$B$88,"")</f>
        <v/>
      </c>
      <c r="G536" t="str">
        <f>_xlfn.XLOOKUP(LEFT(A536,3),INDUSTRY!$A$2:$A$259,INDUSTRY!$A$2:$A$259,"")</f>
        <v>611</v>
      </c>
      <c r="H536" t="str">
        <f>_xlfn.XLOOKUP(LEFT(A536,3),INDUSTRY!$A$2:$A$259,INDUSTRY!$B$2:$B$259,"")</f>
        <v>Wired, wireless, and satellite telecommunication activities</v>
      </c>
      <c r="I536" t="str">
        <f t="shared" si="16"/>
        <v/>
      </c>
      <c r="J536" t="str">
        <f t="shared" si="17"/>
        <v/>
      </c>
    </row>
    <row r="537" spans="1:10" x14ac:dyDescent="0.25">
      <c r="A537" t="s">
        <v>1813</v>
      </c>
      <c r="B537" t="s">
        <v>1812</v>
      </c>
      <c r="C537" t="s">
        <v>1807</v>
      </c>
      <c r="D537" t="str">
        <f>_xlfn.XLOOKUP(ISIC_Rev_5_english_structure__1[[#This Row],[Column4]],INDUSTRYGROUP!$C$2:$C$23,INDUSTRYGROUP!$D$2:$D$23,"NONE")</f>
        <v>NONE</v>
      </c>
      <c r="E537" t="str">
        <f>_xlfn.XLOOKUP(LEFT(A537,2),SECTOR!$A$2:$A$88,SECTOR!$A$2:$A$88,"")</f>
        <v/>
      </c>
      <c r="F537" t="str">
        <f>_xlfn.XLOOKUP(LEFT(A537,2),SECTOR!$A$2:$A$88,SECTOR!$B$2:$B$88,"")</f>
        <v/>
      </c>
      <c r="G537" t="str">
        <f>_xlfn.XLOOKUP(LEFT(A537,3),INDUSTRY!$A$2:$A$259,INDUSTRY!$A$2:$A$259,"")</f>
        <v>611</v>
      </c>
      <c r="H537" t="str">
        <f>_xlfn.XLOOKUP(LEFT(A537,3),INDUSTRY!$A$2:$A$259,INDUSTRY!$B$2:$B$259,"")</f>
        <v>Wired, wireless, and satellite telecommunication activities</v>
      </c>
      <c r="I537" t="str">
        <f t="shared" si="16"/>
        <v>6110</v>
      </c>
      <c r="J537" t="str">
        <f t="shared" si="17"/>
        <v>Wired, wireless, and satellite telecommunication activities</v>
      </c>
    </row>
    <row r="538" spans="1:10" x14ac:dyDescent="0.25">
      <c r="A538" t="s">
        <v>1814</v>
      </c>
      <c r="B538" t="s">
        <v>1815</v>
      </c>
      <c r="C538" t="s">
        <v>1807</v>
      </c>
      <c r="D538" t="str">
        <f>_xlfn.XLOOKUP(ISIC_Rev_5_english_structure__1[[#This Row],[Column4]],INDUSTRYGROUP!$C$2:$C$23,INDUSTRYGROUP!$D$2:$D$23,"NONE")</f>
        <v>NONE</v>
      </c>
      <c r="E538" t="str">
        <f>_xlfn.XLOOKUP(LEFT(A538,2),SECTOR!$A$2:$A$88,SECTOR!$A$2:$A$88,"")</f>
        <v/>
      </c>
      <c r="F538" t="str">
        <f>_xlfn.XLOOKUP(LEFT(A538,2),SECTOR!$A$2:$A$88,SECTOR!$B$2:$B$88,"")</f>
        <v/>
      </c>
      <c r="G538" t="str">
        <f>_xlfn.XLOOKUP(LEFT(A538,3),INDUSTRY!$A$2:$A$259,INDUSTRY!$A$2:$A$259,"")</f>
        <v>612</v>
      </c>
      <c r="H538" t="str">
        <f>_xlfn.XLOOKUP(LEFT(A538,3),INDUSTRY!$A$2:$A$259,INDUSTRY!$B$2:$B$259,"")</f>
        <v>Telecommunication reselling�activities�and intermediation service�activities�for telecommunication</v>
      </c>
      <c r="I538" t="str">
        <f t="shared" si="16"/>
        <v/>
      </c>
      <c r="J538" t="str">
        <f t="shared" si="17"/>
        <v/>
      </c>
    </row>
    <row r="539" spans="1:10" x14ac:dyDescent="0.25">
      <c r="A539" t="s">
        <v>1816</v>
      </c>
      <c r="B539" t="s">
        <v>1815</v>
      </c>
      <c r="C539" t="s">
        <v>1807</v>
      </c>
      <c r="D539" t="str">
        <f>_xlfn.XLOOKUP(ISIC_Rev_5_english_structure__1[[#This Row],[Column4]],INDUSTRYGROUP!$C$2:$C$23,INDUSTRYGROUP!$D$2:$D$23,"NONE")</f>
        <v>NONE</v>
      </c>
      <c r="E539" t="str">
        <f>_xlfn.XLOOKUP(LEFT(A539,2),SECTOR!$A$2:$A$88,SECTOR!$A$2:$A$88,"")</f>
        <v/>
      </c>
      <c r="F539" t="str">
        <f>_xlfn.XLOOKUP(LEFT(A539,2),SECTOR!$A$2:$A$88,SECTOR!$B$2:$B$88,"")</f>
        <v/>
      </c>
      <c r="G539" t="str">
        <f>_xlfn.XLOOKUP(LEFT(A539,3),INDUSTRY!$A$2:$A$259,INDUSTRY!$A$2:$A$259,"")</f>
        <v>612</v>
      </c>
      <c r="H539" t="str">
        <f>_xlfn.XLOOKUP(LEFT(A539,3),INDUSTRY!$A$2:$A$259,INDUSTRY!$B$2:$B$259,"")</f>
        <v>Telecommunication reselling�activities�and intermediation service�activities�for telecommunication</v>
      </c>
      <c r="I539" t="str">
        <f t="shared" si="16"/>
        <v>6120</v>
      </c>
      <c r="J539" t="str">
        <f t="shared" si="17"/>
        <v>Telecommunication reselling�activities�and intermediation service�activities�for telecommunication</v>
      </c>
    </row>
    <row r="540" spans="1:10" x14ac:dyDescent="0.25">
      <c r="A540" t="s">
        <v>1817</v>
      </c>
      <c r="B540" t="s">
        <v>1818</v>
      </c>
      <c r="C540" t="s">
        <v>1807</v>
      </c>
      <c r="D540" t="str">
        <f>_xlfn.XLOOKUP(ISIC_Rev_5_english_structure__1[[#This Row],[Column4]],INDUSTRYGROUP!$C$2:$C$23,INDUSTRYGROUP!$D$2:$D$23,"NONE")</f>
        <v>NONE</v>
      </c>
      <c r="E540" t="str">
        <f>_xlfn.XLOOKUP(LEFT(A540,2),SECTOR!$A$2:$A$88,SECTOR!$A$2:$A$88,"")</f>
        <v/>
      </c>
      <c r="F540" t="str">
        <f>_xlfn.XLOOKUP(LEFT(A540,2),SECTOR!$A$2:$A$88,SECTOR!$B$2:$B$88,"")</f>
        <v/>
      </c>
      <c r="G540" t="str">
        <f>_xlfn.XLOOKUP(LEFT(A540,3),INDUSTRY!$A$2:$A$259,INDUSTRY!$A$2:$A$259,"")</f>
        <v>619</v>
      </c>
      <c r="H540" t="str">
        <f>_xlfn.XLOOKUP(LEFT(A540,3),INDUSTRY!$A$2:$A$259,INDUSTRY!$B$2:$B$259,"")</f>
        <v>Other telecommunication activities</v>
      </c>
      <c r="I540" t="str">
        <f t="shared" si="16"/>
        <v/>
      </c>
      <c r="J540" t="str">
        <f t="shared" si="17"/>
        <v/>
      </c>
    </row>
    <row r="541" spans="1:10" x14ac:dyDescent="0.25">
      <c r="A541" t="s">
        <v>1819</v>
      </c>
      <c r="B541" t="s">
        <v>1818</v>
      </c>
      <c r="C541" t="s">
        <v>1807</v>
      </c>
      <c r="D541" t="str">
        <f>_xlfn.XLOOKUP(ISIC_Rev_5_english_structure__1[[#This Row],[Column4]],INDUSTRYGROUP!$C$2:$C$23,INDUSTRYGROUP!$D$2:$D$23,"NONE")</f>
        <v>NONE</v>
      </c>
      <c r="E541" t="str">
        <f>_xlfn.XLOOKUP(LEFT(A541,2),SECTOR!$A$2:$A$88,SECTOR!$A$2:$A$88,"")</f>
        <v/>
      </c>
      <c r="F541" t="str">
        <f>_xlfn.XLOOKUP(LEFT(A541,2),SECTOR!$A$2:$A$88,SECTOR!$B$2:$B$88,"")</f>
        <v/>
      </c>
      <c r="G541" t="str">
        <f>_xlfn.XLOOKUP(LEFT(A541,3),INDUSTRY!$A$2:$A$259,INDUSTRY!$A$2:$A$259,"")</f>
        <v>619</v>
      </c>
      <c r="H541" t="str">
        <f>_xlfn.XLOOKUP(LEFT(A541,3),INDUSTRY!$A$2:$A$259,INDUSTRY!$B$2:$B$259,"")</f>
        <v>Other telecommunication activities</v>
      </c>
      <c r="I541" t="str">
        <f t="shared" si="16"/>
        <v>6190</v>
      </c>
      <c r="J541" t="str">
        <f t="shared" si="17"/>
        <v>Other telecommunication activities</v>
      </c>
    </row>
    <row r="542" spans="1:10" x14ac:dyDescent="0.25">
      <c r="A542" t="s">
        <v>1820</v>
      </c>
      <c r="B542" t="s">
        <v>1821</v>
      </c>
      <c r="C542" t="s">
        <v>1807</v>
      </c>
      <c r="D542" t="str">
        <f>_xlfn.XLOOKUP(ISIC_Rev_5_english_structure__1[[#This Row],[Column4]],INDUSTRYGROUP!$C$2:$C$23,INDUSTRYGROUP!$D$2:$D$23,"NONE")</f>
        <v>NONE</v>
      </c>
      <c r="E542" t="str">
        <f>_xlfn.XLOOKUP(LEFT(A542,2),SECTOR!$A$2:$A$88,SECTOR!$A$2:$A$88,"")</f>
        <v/>
      </c>
      <c r="F542" t="str">
        <f>_xlfn.XLOOKUP(LEFT(A542,2),SECTOR!$A$2:$A$88,SECTOR!$B$2:$B$88,"")</f>
        <v/>
      </c>
      <c r="G542" t="str">
        <f>_xlfn.XLOOKUP(LEFT(A542,3),INDUSTRY!$A$2:$A$259,INDUSTRY!$A$2:$A$259,"")</f>
        <v/>
      </c>
      <c r="H542" t="str">
        <f>_xlfn.XLOOKUP(LEFT(A542,3),INDUSTRY!$A$2:$A$259,INDUSTRY!$B$2:$B$259,"")</f>
        <v/>
      </c>
      <c r="I542" t="str">
        <f t="shared" si="16"/>
        <v/>
      </c>
      <c r="J542" t="str">
        <f t="shared" si="17"/>
        <v/>
      </c>
    </row>
    <row r="543" spans="1:10" x14ac:dyDescent="0.25">
      <c r="A543" t="s">
        <v>1822</v>
      </c>
      <c r="B543" t="s">
        <v>1823</v>
      </c>
      <c r="C543" t="s">
        <v>1807</v>
      </c>
      <c r="D543" t="str">
        <f>_xlfn.XLOOKUP(ISIC_Rev_5_english_structure__1[[#This Row],[Column4]],INDUSTRYGROUP!$C$2:$C$23,INDUSTRYGROUP!$D$2:$D$23,"NONE")</f>
        <v>NONE</v>
      </c>
      <c r="E543" t="str">
        <f>_xlfn.XLOOKUP(LEFT(A543,2),SECTOR!$A$2:$A$88,SECTOR!$A$2:$A$88,"")</f>
        <v/>
      </c>
      <c r="F543" t="str">
        <f>_xlfn.XLOOKUP(LEFT(A543,2),SECTOR!$A$2:$A$88,SECTOR!$B$2:$B$88,"")</f>
        <v/>
      </c>
      <c r="G543" t="str">
        <f>_xlfn.XLOOKUP(LEFT(A543,3),INDUSTRY!$A$2:$A$259,INDUSTRY!$A$2:$A$259,"")</f>
        <v>621</v>
      </c>
      <c r="H543" t="str">
        <f>_xlfn.XLOOKUP(LEFT(A543,3),INDUSTRY!$A$2:$A$259,INDUSTRY!$B$2:$B$259,"")</f>
        <v>Computer programming activities</v>
      </c>
      <c r="I543" t="str">
        <f t="shared" si="16"/>
        <v/>
      </c>
      <c r="J543" t="str">
        <f t="shared" si="17"/>
        <v/>
      </c>
    </row>
    <row r="544" spans="1:10" x14ac:dyDescent="0.25">
      <c r="A544" t="s">
        <v>1824</v>
      </c>
      <c r="B544" t="s">
        <v>1825</v>
      </c>
      <c r="C544" t="s">
        <v>1807</v>
      </c>
      <c r="D544" t="str">
        <f>_xlfn.XLOOKUP(ISIC_Rev_5_english_structure__1[[#This Row],[Column4]],INDUSTRYGROUP!$C$2:$C$23,INDUSTRYGROUP!$D$2:$D$23,"NONE")</f>
        <v>NONE</v>
      </c>
      <c r="E544" t="str">
        <f>_xlfn.XLOOKUP(LEFT(A544,2),SECTOR!$A$2:$A$88,SECTOR!$A$2:$A$88,"")</f>
        <v/>
      </c>
      <c r="F544" t="str">
        <f>_xlfn.XLOOKUP(LEFT(A544,2),SECTOR!$A$2:$A$88,SECTOR!$B$2:$B$88,"")</f>
        <v/>
      </c>
      <c r="G544" t="str">
        <f>_xlfn.XLOOKUP(LEFT(A544,3),INDUSTRY!$A$2:$A$259,INDUSTRY!$A$2:$A$259,"")</f>
        <v>621</v>
      </c>
      <c r="H544" t="str">
        <f>_xlfn.XLOOKUP(LEFT(A544,3),INDUSTRY!$A$2:$A$259,INDUSTRY!$B$2:$B$259,"")</f>
        <v>Computer programming activities</v>
      </c>
      <c r="I544" t="str">
        <f t="shared" si="16"/>
        <v>6211</v>
      </c>
      <c r="J544" t="str">
        <f t="shared" si="17"/>
        <v>Development of video games, video game software, and video game software tools</v>
      </c>
    </row>
    <row r="545" spans="1:10" x14ac:dyDescent="0.25">
      <c r="A545" t="s">
        <v>1826</v>
      </c>
      <c r="B545" t="s">
        <v>1827</v>
      </c>
      <c r="C545" t="s">
        <v>1807</v>
      </c>
      <c r="D545" t="str">
        <f>_xlfn.XLOOKUP(ISIC_Rev_5_english_structure__1[[#This Row],[Column4]],INDUSTRYGROUP!$C$2:$C$23,INDUSTRYGROUP!$D$2:$D$23,"NONE")</f>
        <v>NONE</v>
      </c>
      <c r="E545" t="str">
        <f>_xlfn.XLOOKUP(LEFT(A545,2),SECTOR!$A$2:$A$88,SECTOR!$A$2:$A$88,"")</f>
        <v/>
      </c>
      <c r="F545" t="str">
        <f>_xlfn.XLOOKUP(LEFT(A545,2),SECTOR!$A$2:$A$88,SECTOR!$B$2:$B$88,"")</f>
        <v/>
      </c>
      <c r="G545" t="str">
        <f>_xlfn.XLOOKUP(LEFT(A545,3),INDUSTRY!$A$2:$A$259,INDUSTRY!$A$2:$A$259,"")</f>
        <v>621</v>
      </c>
      <c r="H545" t="str">
        <f>_xlfn.XLOOKUP(LEFT(A545,3),INDUSTRY!$A$2:$A$259,INDUSTRY!$B$2:$B$259,"")</f>
        <v>Computer programming activities</v>
      </c>
      <c r="I545" t="str">
        <f t="shared" si="16"/>
        <v>6219</v>
      </c>
      <c r="J545" t="str">
        <f t="shared" si="17"/>
        <v>Other computer programming activities</v>
      </c>
    </row>
    <row r="546" spans="1:10" x14ac:dyDescent="0.25">
      <c r="A546" t="s">
        <v>1828</v>
      </c>
      <c r="B546" t="s">
        <v>1829</v>
      </c>
      <c r="C546" t="s">
        <v>1807</v>
      </c>
      <c r="D546" t="str">
        <f>_xlfn.XLOOKUP(ISIC_Rev_5_english_structure__1[[#This Row],[Column4]],INDUSTRYGROUP!$C$2:$C$23,INDUSTRYGROUP!$D$2:$D$23,"NONE")</f>
        <v>NONE</v>
      </c>
      <c r="E546" t="str">
        <f>_xlfn.XLOOKUP(LEFT(A546,2),SECTOR!$A$2:$A$88,SECTOR!$A$2:$A$88,"")</f>
        <v/>
      </c>
      <c r="F546" t="str">
        <f>_xlfn.XLOOKUP(LEFT(A546,2),SECTOR!$A$2:$A$88,SECTOR!$B$2:$B$88,"")</f>
        <v/>
      </c>
      <c r="G546" t="str">
        <f>_xlfn.XLOOKUP(LEFT(A546,3),INDUSTRY!$A$2:$A$259,INDUSTRY!$A$2:$A$259,"")</f>
        <v>622</v>
      </c>
      <c r="H546" t="str">
        <f>_xlfn.XLOOKUP(LEFT(A546,3),INDUSTRY!$A$2:$A$259,INDUSTRY!$B$2:$B$259,"")</f>
        <v>Computer consultancy and computer facilities management activities</v>
      </c>
      <c r="I546" t="str">
        <f t="shared" si="16"/>
        <v/>
      </c>
      <c r="J546" t="str">
        <f t="shared" si="17"/>
        <v/>
      </c>
    </row>
    <row r="547" spans="1:10" x14ac:dyDescent="0.25">
      <c r="A547" t="s">
        <v>1830</v>
      </c>
      <c r="B547" t="s">
        <v>1829</v>
      </c>
      <c r="C547" t="s">
        <v>1807</v>
      </c>
      <c r="D547" t="str">
        <f>_xlfn.XLOOKUP(ISIC_Rev_5_english_structure__1[[#This Row],[Column4]],INDUSTRYGROUP!$C$2:$C$23,INDUSTRYGROUP!$D$2:$D$23,"NONE")</f>
        <v>NONE</v>
      </c>
      <c r="E547" t="str">
        <f>_xlfn.XLOOKUP(LEFT(A547,2),SECTOR!$A$2:$A$88,SECTOR!$A$2:$A$88,"")</f>
        <v/>
      </c>
      <c r="F547" t="str">
        <f>_xlfn.XLOOKUP(LEFT(A547,2),SECTOR!$A$2:$A$88,SECTOR!$B$2:$B$88,"")</f>
        <v/>
      </c>
      <c r="G547" t="str">
        <f>_xlfn.XLOOKUP(LEFT(A547,3),INDUSTRY!$A$2:$A$259,INDUSTRY!$A$2:$A$259,"")</f>
        <v>622</v>
      </c>
      <c r="H547" t="str">
        <f>_xlfn.XLOOKUP(LEFT(A547,3),INDUSTRY!$A$2:$A$259,INDUSTRY!$B$2:$B$259,"")</f>
        <v>Computer consultancy and computer facilities management activities</v>
      </c>
      <c r="I547" t="str">
        <f t="shared" si="16"/>
        <v>6220</v>
      </c>
      <c r="J547" t="str">
        <f t="shared" si="17"/>
        <v>Computer consultancy and computer facilities management activities</v>
      </c>
    </row>
    <row r="548" spans="1:10" x14ac:dyDescent="0.25">
      <c r="A548" t="s">
        <v>1831</v>
      </c>
      <c r="B548" t="s">
        <v>1832</v>
      </c>
      <c r="C548" t="s">
        <v>1807</v>
      </c>
      <c r="D548" t="str">
        <f>_xlfn.XLOOKUP(ISIC_Rev_5_english_structure__1[[#This Row],[Column4]],INDUSTRYGROUP!$C$2:$C$23,INDUSTRYGROUP!$D$2:$D$23,"NONE")</f>
        <v>NONE</v>
      </c>
      <c r="E548" t="str">
        <f>_xlfn.XLOOKUP(LEFT(A548,2),SECTOR!$A$2:$A$88,SECTOR!$A$2:$A$88,"")</f>
        <v/>
      </c>
      <c r="F548" t="str">
        <f>_xlfn.XLOOKUP(LEFT(A548,2),SECTOR!$A$2:$A$88,SECTOR!$B$2:$B$88,"")</f>
        <v/>
      </c>
      <c r="G548" t="str">
        <f>_xlfn.XLOOKUP(LEFT(A548,3),INDUSTRY!$A$2:$A$259,INDUSTRY!$A$2:$A$259,"")</f>
        <v>629</v>
      </c>
      <c r="H548" t="str">
        <f>_xlfn.XLOOKUP(LEFT(A548,3),INDUSTRY!$A$2:$A$259,INDUSTRY!$B$2:$B$259,"")</f>
        <v>Other information technology and computer service activities</v>
      </c>
      <c r="I548" t="str">
        <f t="shared" si="16"/>
        <v/>
      </c>
      <c r="J548" t="str">
        <f t="shared" si="17"/>
        <v/>
      </c>
    </row>
    <row r="549" spans="1:10" x14ac:dyDescent="0.25">
      <c r="A549" t="s">
        <v>1833</v>
      </c>
      <c r="B549" t="s">
        <v>1832</v>
      </c>
      <c r="C549" t="s">
        <v>1807</v>
      </c>
      <c r="D549" t="str">
        <f>_xlfn.XLOOKUP(ISIC_Rev_5_english_structure__1[[#This Row],[Column4]],INDUSTRYGROUP!$C$2:$C$23,INDUSTRYGROUP!$D$2:$D$23,"NONE")</f>
        <v>NONE</v>
      </c>
      <c r="E549" t="str">
        <f>_xlfn.XLOOKUP(LEFT(A549,2),SECTOR!$A$2:$A$88,SECTOR!$A$2:$A$88,"")</f>
        <v/>
      </c>
      <c r="F549" t="str">
        <f>_xlfn.XLOOKUP(LEFT(A549,2),SECTOR!$A$2:$A$88,SECTOR!$B$2:$B$88,"")</f>
        <v/>
      </c>
      <c r="G549" t="str">
        <f>_xlfn.XLOOKUP(LEFT(A549,3),INDUSTRY!$A$2:$A$259,INDUSTRY!$A$2:$A$259,"")</f>
        <v>629</v>
      </c>
      <c r="H549" t="str">
        <f>_xlfn.XLOOKUP(LEFT(A549,3),INDUSTRY!$A$2:$A$259,INDUSTRY!$B$2:$B$259,"")</f>
        <v>Other information technology and computer service activities</v>
      </c>
      <c r="I549" t="str">
        <f t="shared" si="16"/>
        <v>6290</v>
      </c>
      <c r="J549" t="str">
        <f t="shared" si="17"/>
        <v>Other information technology and computer service activities</v>
      </c>
    </row>
    <row r="550" spans="1:10" x14ac:dyDescent="0.25">
      <c r="A550" t="s">
        <v>1834</v>
      </c>
      <c r="B550" t="s">
        <v>1835</v>
      </c>
      <c r="C550" t="s">
        <v>1807</v>
      </c>
      <c r="D550" t="str">
        <f>_xlfn.XLOOKUP(ISIC_Rev_5_english_structure__1[[#This Row],[Column4]],INDUSTRYGROUP!$C$2:$C$23,INDUSTRYGROUP!$D$2:$D$23,"NONE")</f>
        <v>NONE</v>
      </c>
      <c r="E550" t="str">
        <f>_xlfn.XLOOKUP(LEFT(A550,2),SECTOR!$A$2:$A$88,SECTOR!$A$2:$A$88,"")</f>
        <v/>
      </c>
      <c r="F550" t="str">
        <f>_xlfn.XLOOKUP(LEFT(A550,2),SECTOR!$A$2:$A$88,SECTOR!$B$2:$B$88,"")</f>
        <v/>
      </c>
      <c r="G550" t="str">
        <f>_xlfn.XLOOKUP(LEFT(A550,3),INDUSTRY!$A$2:$A$259,INDUSTRY!$A$2:$A$259,"")</f>
        <v/>
      </c>
      <c r="H550" t="str">
        <f>_xlfn.XLOOKUP(LEFT(A550,3),INDUSTRY!$A$2:$A$259,INDUSTRY!$B$2:$B$259,"")</f>
        <v/>
      </c>
      <c r="I550" t="str">
        <f t="shared" si="16"/>
        <v/>
      </c>
      <c r="J550" t="str">
        <f t="shared" si="17"/>
        <v/>
      </c>
    </row>
    <row r="551" spans="1:10" x14ac:dyDescent="0.25">
      <c r="A551" t="s">
        <v>1836</v>
      </c>
      <c r="B551" t="s">
        <v>1837</v>
      </c>
      <c r="C551" t="s">
        <v>1807</v>
      </c>
      <c r="D551" t="str">
        <f>_xlfn.XLOOKUP(ISIC_Rev_5_english_structure__1[[#This Row],[Column4]],INDUSTRYGROUP!$C$2:$C$23,INDUSTRYGROUP!$D$2:$D$23,"NONE")</f>
        <v>NONE</v>
      </c>
      <c r="E551" t="str">
        <f>_xlfn.XLOOKUP(LEFT(A551,2),SECTOR!$A$2:$A$88,SECTOR!$A$2:$A$88,"")</f>
        <v/>
      </c>
      <c r="F551" t="str">
        <f>_xlfn.XLOOKUP(LEFT(A551,2),SECTOR!$A$2:$A$88,SECTOR!$B$2:$B$88,"")</f>
        <v/>
      </c>
      <c r="G551" t="str">
        <f>_xlfn.XLOOKUP(LEFT(A551,3),INDUSTRY!$A$2:$A$259,INDUSTRY!$A$2:$A$259,"")</f>
        <v>631</v>
      </c>
      <c r="H551" t="str">
        <f>_xlfn.XLOOKUP(LEFT(A551,3),INDUSTRY!$A$2:$A$259,INDUSTRY!$B$2:$B$259,"")</f>
        <v>Computing infrastructure, data processing, hosting and related activities</v>
      </c>
      <c r="I551" t="str">
        <f t="shared" si="16"/>
        <v/>
      </c>
      <c r="J551" t="str">
        <f t="shared" si="17"/>
        <v/>
      </c>
    </row>
    <row r="552" spans="1:10" x14ac:dyDescent="0.25">
      <c r="A552" t="s">
        <v>1838</v>
      </c>
      <c r="B552" t="s">
        <v>1837</v>
      </c>
      <c r="C552" t="s">
        <v>1807</v>
      </c>
      <c r="D552" t="str">
        <f>_xlfn.XLOOKUP(ISIC_Rev_5_english_structure__1[[#This Row],[Column4]],INDUSTRYGROUP!$C$2:$C$23,INDUSTRYGROUP!$D$2:$D$23,"NONE")</f>
        <v>NONE</v>
      </c>
      <c r="E552" t="str">
        <f>_xlfn.XLOOKUP(LEFT(A552,2),SECTOR!$A$2:$A$88,SECTOR!$A$2:$A$88,"")</f>
        <v/>
      </c>
      <c r="F552" t="str">
        <f>_xlfn.XLOOKUP(LEFT(A552,2),SECTOR!$A$2:$A$88,SECTOR!$B$2:$B$88,"")</f>
        <v/>
      </c>
      <c r="G552" t="str">
        <f>_xlfn.XLOOKUP(LEFT(A552,3),INDUSTRY!$A$2:$A$259,INDUSTRY!$A$2:$A$259,"")</f>
        <v>631</v>
      </c>
      <c r="H552" t="str">
        <f>_xlfn.XLOOKUP(LEFT(A552,3),INDUSTRY!$A$2:$A$259,INDUSTRY!$B$2:$B$259,"")</f>
        <v>Computing infrastructure, data processing, hosting and related activities</v>
      </c>
      <c r="I552" t="str">
        <f t="shared" si="16"/>
        <v>6310</v>
      </c>
      <c r="J552" t="str">
        <f t="shared" si="17"/>
        <v>Computing infrastructure, data processing, hosting and related activities</v>
      </c>
    </row>
    <row r="553" spans="1:10" x14ac:dyDescent="0.25">
      <c r="A553" t="s">
        <v>1839</v>
      </c>
      <c r="B553" t="s">
        <v>1840</v>
      </c>
      <c r="C553" t="s">
        <v>1807</v>
      </c>
      <c r="D553" t="str">
        <f>_xlfn.XLOOKUP(ISIC_Rev_5_english_structure__1[[#This Row],[Column4]],INDUSTRYGROUP!$C$2:$C$23,INDUSTRYGROUP!$D$2:$D$23,"NONE")</f>
        <v>NONE</v>
      </c>
      <c r="E553" t="str">
        <f>_xlfn.XLOOKUP(LEFT(A553,2),SECTOR!$A$2:$A$88,SECTOR!$A$2:$A$88,"")</f>
        <v/>
      </c>
      <c r="F553" t="str">
        <f>_xlfn.XLOOKUP(LEFT(A553,2),SECTOR!$A$2:$A$88,SECTOR!$B$2:$B$88,"")</f>
        <v/>
      </c>
      <c r="G553" t="str">
        <f>_xlfn.XLOOKUP(LEFT(A553,3),INDUSTRY!$A$2:$A$259,INDUSTRY!$A$2:$A$259,"")</f>
        <v>639</v>
      </c>
      <c r="H553" t="str">
        <f>_xlfn.XLOOKUP(LEFT(A553,3),INDUSTRY!$A$2:$A$259,INDUSTRY!$B$2:$B$259,"")</f>
        <v>Web search portals activities and other information service activities</v>
      </c>
      <c r="I553" t="str">
        <f t="shared" si="16"/>
        <v/>
      </c>
      <c r="J553" t="str">
        <f t="shared" si="17"/>
        <v/>
      </c>
    </row>
    <row r="554" spans="1:10" x14ac:dyDescent="0.25">
      <c r="A554" t="s">
        <v>1841</v>
      </c>
      <c r="B554" t="s">
        <v>1840</v>
      </c>
      <c r="C554" t="s">
        <v>1807</v>
      </c>
      <c r="D554" t="str">
        <f>_xlfn.XLOOKUP(ISIC_Rev_5_english_structure__1[[#This Row],[Column4]],INDUSTRYGROUP!$C$2:$C$23,INDUSTRYGROUP!$D$2:$D$23,"NONE")</f>
        <v>NONE</v>
      </c>
      <c r="E554" t="str">
        <f>_xlfn.XLOOKUP(LEFT(A554,2),SECTOR!$A$2:$A$88,SECTOR!$A$2:$A$88,"")</f>
        <v/>
      </c>
      <c r="F554" t="str">
        <f>_xlfn.XLOOKUP(LEFT(A554,2),SECTOR!$A$2:$A$88,SECTOR!$B$2:$B$88,"")</f>
        <v/>
      </c>
      <c r="G554" t="str">
        <f>_xlfn.XLOOKUP(LEFT(A554,3),INDUSTRY!$A$2:$A$259,INDUSTRY!$A$2:$A$259,"")</f>
        <v>639</v>
      </c>
      <c r="H554" t="str">
        <f>_xlfn.XLOOKUP(LEFT(A554,3),INDUSTRY!$A$2:$A$259,INDUSTRY!$B$2:$B$259,"")</f>
        <v>Web search portals activities and other information service activities</v>
      </c>
      <c r="I554" t="str">
        <f t="shared" si="16"/>
        <v>6390</v>
      </c>
      <c r="J554" t="str">
        <f t="shared" si="17"/>
        <v>Web search portals activities and other information service activities</v>
      </c>
    </row>
    <row r="555" spans="1:10" x14ac:dyDescent="0.25">
      <c r="A555" t="s">
        <v>1842</v>
      </c>
      <c r="B555" t="s">
        <v>1843</v>
      </c>
      <c r="C555" t="s">
        <v>1842</v>
      </c>
      <c r="D555" t="str">
        <f>_xlfn.XLOOKUP(ISIC_Rev_5_english_structure__1[[#This Row],[Column4]],INDUSTRYGROUP!$C$2:$C$23,INDUSTRYGROUP!$D$2:$D$23,"NONE")</f>
        <v>NONE</v>
      </c>
      <c r="E555" t="str">
        <f>_xlfn.XLOOKUP(LEFT(A555,2),SECTOR!$A$2:$A$88,SECTOR!$A$2:$A$88,"")</f>
        <v>L</v>
      </c>
      <c r="F555" t="str">
        <f>_xlfn.XLOOKUP(LEFT(A555,2),SECTOR!$A$2:$A$88,SECTOR!$B$2:$B$88,"")</f>
        <v>Financial and insurance activities</v>
      </c>
      <c r="G555" t="str">
        <f>_xlfn.XLOOKUP(LEFT(A555,3),INDUSTRY!$A$2:$A$259,INDUSTRY!$A$2:$A$259,"")</f>
        <v/>
      </c>
      <c r="H555" t="str">
        <f>_xlfn.XLOOKUP(LEFT(A555,3),INDUSTRY!$A$2:$A$259,INDUSTRY!$B$2:$B$259,"")</f>
        <v/>
      </c>
      <c r="I555" t="str">
        <f t="shared" si="16"/>
        <v/>
      </c>
      <c r="J555" t="str">
        <f t="shared" si="17"/>
        <v/>
      </c>
    </row>
    <row r="556" spans="1:10" x14ac:dyDescent="0.25">
      <c r="A556" t="s">
        <v>1844</v>
      </c>
      <c r="B556" t="s">
        <v>1845</v>
      </c>
      <c r="C556" t="s">
        <v>1842</v>
      </c>
      <c r="D556" t="str">
        <f>_xlfn.XLOOKUP(ISIC_Rev_5_english_structure__1[[#This Row],[Column4]],INDUSTRYGROUP!$C$2:$C$23,INDUSTRYGROUP!$D$2:$D$23,"NONE")</f>
        <v>NONE</v>
      </c>
      <c r="E556" t="str">
        <f>_xlfn.XLOOKUP(LEFT(A556,2),SECTOR!$A$2:$A$88,SECTOR!$A$2:$A$88,"")</f>
        <v/>
      </c>
      <c r="F556" t="str">
        <f>_xlfn.XLOOKUP(LEFT(A556,2),SECTOR!$A$2:$A$88,SECTOR!$B$2:$B$88,"")</f>
        <v/>
      </c>
      <c r="G556" t="str">
        <f>_xlfn.XLOOKUP(LEFT(A556,3),INDUSTRY!$A$2:$A$259,INDUSTRY!$A$2:$A$259,"")</f>
        <v/>
      </c>
      <c r="H556" t="str">
        <f>_xlfn.XLOOKUP(LEFT(A556,3),INDUSTRY!$A$2:$A$259,INDUSTRY!$B$2:$B$259,"")</f>
        <v/>
      </c>
      <c r="I556" t="str">
        <f t="shared" si="16"/>
        <v/>
      </c>
      <c r="J556" t="str">
        <f t="shared" si="17"/>
        <v/>
      </c>
    </row>
    <row r="557" spans="1:10" x14ac:dyDescent="0.25">
      <c r="A557" t="s">
        <v>1846</v>
      </c>
      <c r="B557" t="s">
        <v>1847</v>
      </c>
      <c r="C557" t="s">
        <v>1842</v>
      </c>
      <c r="D557" t="str">
        <f>_xlfn.XLOOKUP(ISIC_Rev_5_english_structure__1[[#This Row],[Column4]],INDUSTRYGROUP!$C$2:$C$23,INDUSTRYGROUP!$D$2:$D$23,"NONE")</f>
        <v>NONE</v>
      </c>
      <c r="E557" t="str">
        <f>_xlfn.XLOOKUP(LEFT(A557,2),SECTOR!$A$2:$A$88,SECTOR!$A$2:$A$88,"")</f>
        <v/>
      </c>
      <c r="F557" t="str">
        <f>_xlfn.XLOOKUP(LEFT(A557,2),SECTOR!$A$2:$A$88,SECTOR!$B$2:$B$88,"")</f>
        <v/>
      </c>
      <c r="G557" t="str">
        <f>_xlfn.XLOOKUP(LEFT(A557,3),INDUSTRY!$A$2:$A$259,INDUSTRY!$A$2:$A$259,"")</f>
        <v>641</v>
      </c>
      <c r="H557" t="str">
        <f>_xlfn.XLOOKUP(LEFT(A557,3),INDUSTRY!$A$2:$A$259,INDUSTRY!$B$2:$B$259,"")</f>
        <v>Monetary intermediation</v>
      </c>
      <c r="I557" t="str">
        <f t="shared" si="16"/>
        <v/>
      </c>
      <c r="J557" t="str">
        <f t="shared" si="17"/>
        <v/>
      </c>
    </row>
    <row r="558" spans="1:10" x14ac:dyDescent="0.25">
      <c r="A558" t="s">
        <v>1848</v>
      </c>
      <c r="B558" t="s">
        <v>1849</v>
      </c>
      <c r="C558" t="s">
        <v>1842</v>
      </c>
      <c r="D558" t="str">
        <f>_xlfn.XLOOKUP(ISIC_Rev_5_english_structure__1[[#This Row],[Column4]],INDUSTRYGROUP!$C$2:$C$23,INDUSTRYGROUP!$D$2:$D$23,"NONE")</f>
        <v>NONE</v>
      </c>
      <c r="E558" t="str">
        <f>_xlfn.XLOOKUP(LEFT(A558,2),SECTOR!$A$2:$A$88,SECTOR!$A$2:$A$88,"")</f>
        <v/>
      </c>
      <c r="F558" t="str">
        <f>_xlfn.XLOOKUP(LEFT(A558,2),SECTOR!$A$2:$A$88,SECTOR!$B$2:$B$88,"")</f>
        <v/>
      </c>
      <c r="G558" t="str">
        <f>_xlfn.XLOOKUP(LEFT(A558,3),INDUSTRY!$A$2:$A$259,INDUSTRY!$A$2:$A$259,"")</f>
        <v>641</v>
      </c>
      <c r="H558" t="str">
        <f>_xlfn.XLOOKUP(LEFT(A558,3),INDUSTRY!$A$2:$A$259,INDUSTRY!$B$2:$B$259,"")</f>
        <v>Monetary intermediation</v>
      </c>
      <c r="I558" t="str">
        <f t="shared" si="16"/>
        <v>6411</v>
      </c>
      <c r="J558" t="str">
        <f t="shared" si="17"/>
        <v>Central banking</v>
      </c>
    </row>
    <row r="559" spans="1:10" x14ac:dyDescent="0.25">
      <c r="A559" t="s">
        <v>1850</v>
      </c>
      <c r="B559" t="s">
        <v>1851</v>
      </c>
      <c r="C559" t="s">
        <v>1842</v>
      </c>
      <c r="D559" t="str">
        <f>_xlfn.XLOOKUP(ISIC_Rev_5_english_structure__1[[#This Row],[Column4]],INDUSTRYGROUP!$C$2:$C$23,INDUSTRYGROUP!$D$2:$D$23,"NONE")</f>
        <v>NONE</v>
      </c>
      <c r="E559" t="str">
        <f>_xlfn.XLOOKUP(LEFT(A559,2),SECTOR!$A$2:$A$88,SECTOR!$A$2:$A$88,"")</f>
        <v/>
      </c>
      <c r="F559" t="str">
        <f>_xlfn.XLOOKUP(LEFT(A559,2),SECTOR!$A$2:$A$88,SECTOR!$B$2:$B$88,"")</f>
        <v/>
      </c>
      <c r="G559" t="str">
        <f>_xlfn.XLOOKUP(LEFT(A559,3),INDUSTRY!$A$2:$A$259,INDUSTRY!$A$2:$A$259,"")</f>
        <v>641</v>
      </c>
      <c r="H559" t="str">
        <f>_xlfn.XLOOKUP(LEFT(A559,3),INDUSTRY!$A$2:$A$259,INDUSTRY!$B$2:$B$259,"")</f>
        <v>Monetary intermediation</v>
      </c>
      <c r="I559" t="str">
        <f t="shared" si="16"/>
        <v>6419</v>
      </c>
      <c r="J559" t="str">
        <f t="shared" si="17"/>
        <v>Other monetary intermediation</v>
      </c>
    </row>
    <row r="560" spans="1:10" x14ac:dyDescent="0.25">
      <c r="A560" t="s">
        <v>1852</v>
      </c>
      <c r="B560" t="s">
        <v>1853</v>
      </c>
      <c r="C560" t="s">
        <v>1842</v>
      </c>
      <c r="D560" t="str">
        <f>_xlfn.XLOOKUP(ISIC_Rev_5_english_structure__1[[#This Row],[Column4]],INDUSTRYGROUP!$C$2:$C$23,INDUSTRYGROUP!$D$2:$D$23,"NONE")</f>
        <v>NONE</v>
      </c>
      <c r="E560" t="str">
        <f>_xlfn.XLOOKUP(LEFT(A560,2),SECTOR!$A$2:$A$88,SECTOR!$A$2:$A$88,"")</f>
        <v/>
      </c>
      <c r="F560" t="str">
        <f>_xlfn.XLOOKUP(LEFT(A560,2),SECTOR!$A$2:$A$88,SECTOR!$B$2:$B$88,"")</f>
        <v/>
      </c>
      <c r="G560" t="str">
        <f>_xlfn.XLOOKUP(LEFT(A560,3),INDUSTRY!$A$2:$A$259,INDUSTRY!$A$2:$A$259,"")</f>
        <v>642</v>
      </c>
      <c r="H560" t="str">
        <f>_xlfn.XLOOKUP(LEFT(A560,3),INDUSTRY!$A$2:$A$259,INDUSTRY!$B$2:$B$259,"")</f>
        <v>Activities of holding companies and financing conduits</v>
      </c>
      <c r="I560" t="str">
        <f t="shared" si="16"/>
        <v/>
      </c>
      <c r="J560" t="str">
        <f t="shared" si="17"/>
        <v/>
      </c>
    </row>
    <row r="561" spans="1:10" x14ac:dyDescent="0.25">
      <c r="A561" t="s">
        <v>1854</v>
      </c>
      <c r="B561" t="s">
        <v>1855</v>
      </c>
      <c r="C561" t="s">
        <v>1842</v>
      </c>
      <c r="D561" t="str">
        <f>_xlfn.XLOOKUP(ISIC_Rev_5_english_structure__1[[#This Row],[Column4]],INDUSTRYGROUP!$C$2:$C$23,INDUSTRYGROUP!$D$2:$D$23,"NONE")</f>
        <v>NONE</v>
      </c>
      <c r="E561" t="str">
        <f>_xlfn.XLOOKUP(LEFT(A561,2),SECTOR!$A$2:$A$88,SECTOR!$A$2:$A$88,"")</f>
        <v/>
      </c>
      <c r="F561" t="str">
        <f>_xlfn.XLOOKUP(LEFT(A561,2),SECTOR!$A$2:$A$88,SECTOR!$B$2:$B$88,"")</f>
        <v/>
      </c>
      <c r="G561" t="str">
        <f>_xlfn.XLOOKUP(LEFT(A561,3),INDUSTRY!$A$2:$A$259,INDUSTRY!$A$2:$A$259,"")</f>
        <v>642</v>
      </c>
      <c r="H561" t="str">
        <f>_xlfn.XLOOKUP(LEFT(A561,3),INDUSTRY!$A$2:$A$259,INDUSTRY!$B$2:$B$259,"")</f>
        <v>Activities of holding companies and financing conduits</v>
      </c>
      <c r="I561" t="str">
        <f t="shared" si="16"/>
        <v>6421</v>
      </c>
      <c r="J561" t="str">
        <f t="shared" si="17"/>
        <v>Activities of holding companies</v>
      </c>
    </row>
    <row r="562" spans="1:10" x14ac:dyDescent="0.25">
      <c r="A562" t="s">
        <v>1856</v>
      </c>
      <c r="B562" t="s">
        <v>1857</v>
      </c>
      <c r="C562" t="s">
        <v>1842</v>
      </c>
      <c r="D562" t="str">
        <f>_xlfn.XLOOKUP(ISIC_Rev_5_english_structure__1[[#This Row],[Column4]],INDUSTRYGROUP!$C$2:$C$23,INDUSTRYGROUP!$D$2:$D$23,"NONE")</f>
        <v>NONE</v>
      </c>
      <c r="E562" t="str">
        <f>_xlfn.XLOOKUP(LEFT(A562,2),SECTOR!$A$2:$A$88,SECTOR!$A$2:$A$88,"")</f>
        <v/>
      </c>
      <c r="F562" t="str">
        <f>_xlfn.XLOOKUP(LEFT(A562,2),SECTOR!$A$2:$A$88,SECTOR!$B$2:$B$88,"")</f>
        <v/>
      </c>
      <c r="G562" t="str">
        <f>_xlfn.XLOOKUP(LEFT(A562,3),INDUSTRY!$A$2:$A$259,INDUSTRY!$A$2:$A$259,"")</f>
        <v>642</v>
      </c>
      <c r="H562" t="str">
        <f>_xlfn.XLOOKUP(LEFT(A562,3),INDUSTRY!$A$2:$A$259,INDUSTRY!$B$2:$B$259,"")</f>
        <v>Activities of holding companies and financing conduits</v>
      </c>
      <c r="I562" t="str">
        <f t="shared" si="16"/>
        <v>6422</v>
      </c>
      <c r="J562" t="str">
        <f t="shared" si="17"/>
        <v>Activities of financing conduits</v>
      </c>
    </row>
    <row r="563" spans="1:10" x14ac:dyDescent="0.25">
      <c r="A563" t="s">
        <v>1858</v>
      </c>
      <c r="B563" t="s">
        <v>1859</v>
      </c>
      <c r="C563" t="s">
        <v>1842</v>
      </c>
      <c r="D563" t="str">
        <f>_xlfn.XLOOKUP(ISIC_Rev_5_english_structure__1[[#This Row],[Column4]],INDUSTRYGROUP!$C$2:$C$23,INDUSTRYGROUP!$D$2:$D$23,"NONE")</f>
        <v>NONE</v>
      </c>
      <c r="E563" t="str">
        <f>_xlfn.XLOOKUP(LEFT(A563,2),SECTOR!$A$2:$A$88,SECTOR!$A$2:$A$88,"")</f>
        <v/>
      </c>
      <c r="F563" t="str">
        <f>_xlfn.XLOOKUP(LEFT(A563,2),SECTOR!$A$2:$A$88,SECTOR!$B$2:$B$88,"")</f>
        <v/>
      </c>
      <c r="G563" t="str">
        <f>_xlfn.XLOOKUP(LEFT(A563,3),INDUSTRY!$A$2:$A$259,INDUSTRY!$A$2:$A$259,"")</f>
        <v>643</v>
      </c>
      <c r="H563" t="str">
        <f>_xlfn.XLOOKUP(LEFT(A563,3),INDUSTRY!$A$2:$A$259,INDUSTRY!$B$2:$B$259,"")</f>
        <v>Activities of trusts, funds and similar financial entities</v>
      </c>
      <c r="I563" t="str">
        <f t="shared" si="16"/>
        <v/>
      </c>
      <c r="J563" t="str">
        <f t="shared" si="17"/>
        <v/>
      </c>
    </row>
    <row r="564" spans="1:10" x14ac:dyDescent="0.25">
      <c r="A564" t="s">
        <v>1860</v>
      </c>
      <c r="B564" t="s">
        <v>1861</v>
      </c>
      <c r="C564" t="s">
        <v>1842</v>
      </c>
      <c r="D564" t="str">
        <f>_xlfn.XLOOKUP(ISIC_Rev_5_english_structure__1[[#This Row],[Column4]],INDUSTRYGROUP!$C$2:$C$23,INDUSTRYGROUP!$D$2:$D$23,"NONE")</f>
        <v>NONE</v>
      </c>
      <c r="E564" t="str">
        <f>_xlfn.XLOOKUP(LEFT(A564,2),SECTOR!$A$2:$A$88,SECTOR!$A$2:$A$88,"")</f>
        <v/>
      </c>
      <c r="F564" t="str">
        <f>_xlfn.XLOOKUP(LEFT(A564,2),SECTOR!$A$2:$A$88,SECTOR!$B$2:$B$88,"")</f>
        <v/>
      </c>
      <c r="G564" t="str">
        <f>_xlfn.XLOOKUP(LEFT(A564,3),INDUSTRY!$A$2:$A$259,INDUSTRY!$A$2:$A$259,"")</f>
        <v>643</v>
      </c>
      <c r="H564" t="str">
        <f>_xlfn.XLOOKUP(LEFT(A564,3),INDUSTRY!$A$2:$A$259,INDUSTRY!$B$2:$B$259,"")</f>
        <v>Activities of trusts, funds and similar financial entities</v>
      </c>
      <c r="I564" t="str">
        <f t="shared" si="16"/>
        <v>6431</v>
      </c>
      <c r="J564" t="str">
        <f t="shared" si="17"/>
        <v>Activities of money market funds</v>
      </c>
    </row>
    <row r="565" spans="1:10" x14ac:dyDescent="0.25">
      <c r="A565" t="s">
        <v>1862</v>
      </c>
      <c r="B565" t="s">
        <v>1863</v>
      </c>
      <c r="C565" t="s">
        <v>1842</v>
      </c>
      <c r="D565" t="str">
        <f>_xlfn.XLOOKUP(ISIC_Rev_5_english_structure__1[[#This Row],[Column4]],INDUSTRYGROUP!$C$2:$C$23,INDUSTRYGROUP!$D$2:$D$23,"NONE")</f>
        <v>NONE</v>
      </c>
      <c r="E565" t="str">
        <f>_xlfn.XLOOKUP(LEFT(A565,2),SECTOR!$A$2:$A$88,SECTOR!$A$2:$A$88,"")</f>
        <v/>
      </c>
      <c r="F565" t="str">
        <f>_xlfn.XLOOKUP(LEFT(A565,2),SECTOR!$A$2:$A$88,SECTOR!$B$2:$B$88,"")</f>
        <v/>
      </c>
      <c r="G565" t="str">
        <f>_xlfn.XLOOKUP(LEFT(A565,3),INDUSTRY!$A$2:$A$259,INDUSTRY!$A$2:$A$259,"")</f>
        <v>643</v>
      </c>
      <c r="H565" t="str">
        <f>_xlfn.XLOOKUP(LEFT(A565,3),INDUSTRY!$A$2:$A$259,INDUSTRY!$B$2:$B$259,"")</f>
        <v>Activities of trusts, funds and similar financial entities</v>
      </c>
      <c r="I565" t="str">
        <f t="shared" si="16"/>
        <v>6432</v>
      </c>
      <c r="J565" t="str">
        <f t="shared" si="17"/>
        <v>Activities of non-money market investments funds</v>
      </c>
    </row>
    <row r="566" spans="1:10" x14ac:dyDescent="0.25">
      <c r="A566" t="s">
        <v>1864</v>
      </c>
      <c r="B566" t="s">
        <v>1865</v>
      </c>
      <c r="C566" t="s">
        <v>1842</v>
      </c>
      <c r="D566" t="str">
        <f>_xlfn.XLOOKUP(ISIC_Rev_5_english_structure__1[[#This Row],[Column4]],INDUSTRYGROUP!$C$2:$C$23,INDUSTRYGROUP!$D$2:$D$23,"NONE")</f>
        <v>NONE</v>
      </c>
      <c r="E566" t="str">
        <f>_xlfn.XLOOKUP(LEFT(A566,2),SECTOR!$A$2:$A$88,SECTOR!$A$2:$A$88,"")</f>
        <v/>
      </c>
      <c r="F566" t="str">
        <f>_xlfn.XLOOKUP(LEFT(A566,2),SECTOR!$A$2:$A$88,SECTOR!$B$2:$B$88,"")</f>
        <v/>
      </c>
      <c r="G566" t="str">
        <f>_xlfn.XLOOKUP(LEFT(A566,3),INDUSTRY!$A$2:$A$259,INDUSTRY!$A$2:$A$259,"")</f>
        <v>643</v>
      </c>
      <c r="H566" t="str">
        <f>_xlfn.XLOOKUP(LEFT(A566,3),INDUSTRY!$A$2:$A$259,INDUSTRY!$B$2:$B$259,"")</f>
        <v>Activities of trusts, funds and similar financial entities</v>
      </c>
      <c r="I566" t="str">
        <f t="shared" si="16"/>
        <v>6433</v>
      </c>
      <c r="J566" t="str">
        <f t="shared" si="17"/>
        <v>Activities of trust, estate and agency accounts</v>
      </c>
    </row>
    <row r="567" spans="1:10" x14ac:dyDescent="0.25">
      <c r="A567" t="s">
        <v>1866</v>
      </c>
      <c r="B567" t="s">
        <v>1867</v>
      </c>
      <c r="C567" t="s">
        <v>1842</v>
      </c>
      <c r="D567" t="str">
        <f>_xlfn.XLOOKUP(ISIC_Rev_5_english_structure__1[[#This Row],[Column4]],INDUSTRYGROUP!$C$2:$C$23,INDUSTRYGROUP!$D$2:$D$23,"NONE")</f>
        <v>NONE</v>
      </c>
      <c r="E567" t="str">
        <f>_xlfn.XLOOKUP(LEFT(A567,2),SECTOR!$A$2:$A$88,SECTOR!$A$2:$A$88,"")</f>
        <v/>
      </c>
      <c r="F567" t="str">
        <f>_xlfn.XLOOKUP(LEFT(A567,2),SECTOR!$A$2:$A$88,SECTOR!$B$2:$B$88,"")</f>
        <v/>
      </c>
      <c r="G567" t="str">
        <f>_xlfn.XLOOKUP(LEFT(A567,3),INDUSTRY!$A$2:$A$259,INDUSTRY!$A$2:$A$259,"")</f>
        <v>649</v>
      </c>
      <c r="H567" t="str">
        <f>_xlfn.XLOOKUP(LEFT(A567,3),INDUSTRY!$A$2:$A$259,INDUSTRY!$B$2:$B$259,"")</f>
        <v>Other financial service activities, except insurance and pension funding activities</v>
      </c>
      <c r="I567" t="str">
        <f t="shared" si="16"/>
        <v/>
      </c>
      <c r="J567" t="str">
        <f t="shared" si="17"/>
        <v/>
      </c>
    </row>
    <row r="568" spans="1:10" x14ac:dyDescent="0.25">
      <c r="A568" t="s">
        <v>1868</v>
      </c>
      <c r="B568" t="s">
        <v>1869</v>
      </c>
      <c r="C568" t="s">
        <v>1842</v>
      </c>
      <c r="D568" t="str">
        <f>_xlfn.XLOOKUP(ISIC_Rev_5_english_structure__1[[#This Row],[Column4]],INDUSTRYGROUP!$C$2:$C$23,INDUSTRYGROUP!$D$2:$D$23,"NONE")</f>
        <v>NONE</v>
      </c>
      <c r="E568" t="str">
        <f>_xlfn.XLOOKUP(LEFT(A568,2),SECTOR!$A$2:$A$88,SECTOR!$A$2:$A$88,"")</f>
        <v/>
      </c>
      <c r="F568" t="str">
        <f>_xlfn.XLOOKUP(LEFT(A568,2),SECTOR!$A$2:$A$88,SECTOR!$B$2:$B$88,"")</f>
        <v/>
      </c>
      <c r="G568" t="str">
        <f>_xlfn.XLOOKUP(LEFT(A568,3),INDUSTRY!$A$2:$A$259,INDUSTRY!$A$2:$A$259,"")</f>
        <v>649</v>
      </c>
      <c r="H568" t="str">
        <f>_xlfn.XLOOKUP(LEFT(A568,3),INDUSTRY!$A$2:$A$259,INDUSTRY!$B$2:$B$259,"")</f>
        <v>Other financial service activities, except insurance and pension funding activities</v>
      </c>
      <c r="I568" t="str">
        <f t="shared" si="16"/>
        <v>6491</v>
      </c>
      <c r="J568" t="str">
        <f t="shared" si="17"/>
        <v>Financial leasing activities</v>
      </c>
    </row>
    <row r="569" spans="1:10" x14ac:dyDescent="0.25">
      <c r="A569" t="s">
        <v>1870</v>
      </c>
      <c r="B569" t="s">
        <v>1871</v>
      </c>
      <c r="C569" t="s">
        <v>1842</v>
      </c>
      <c r="D569" t="str">
        <f>_xlfn.XLOOKUP(ISIC_Rev_5_english_structure__1[[#This Row],[Column4]],INDUSTRYGROUP!$C$2:$C$23,INDUSTRYGROUP!$D$2:$D$23,"NONE")</f>
        <v>NONE</v>
      </c>
      <c r="E569" t="str">
        <f>_xlfn.XLOOKUP(LEFT(A569,2),SECTOR!$A$2:$A$88,SECTOR!$A$2:$A$88,"")</f>
        <v/>
      </c>
      <c r="F569" t="str">
        <f>_xlfn.XLOOKUP(LEFT(A569,2),SECTOR!$A$2:$A$88,SECTOR!$B$2:$B$88,"")</f>
        <v/>
      </c>
      <c r="G569" t="str">
        <f>_xlfn.XLOOKUP(LEFT(A569,3),INDUSTRY!$A$2:$A$259,INDUSTRY!$A$2:$A$259,"")</f>
        <v>649</v>
      </c>
      <c r="H569" t="str">
        <f>_xlfn.XLOOKUP(LEFT(A569,3),INDUSTRY!$A$2:$A$259,INDUSTRY!$B$2:$B$259,"")</f>
        <v>Other financial service activities, except insurance and pension funding activities</v>
      </c>
      <c r="I569" t="str">
        <f t="shared" si="16"/>
        <v>6492</v>
      </c>
      <c r="J569" t="str">
        <f t="shared" si="17"/>
        <v>International trade financing activities</v>
      </c>
    </row>
    <row r="570" spans="1:10" x14ac:dyDescent="0.25">
      <c r="A570" t="s">
        <v>1872</v>
      </c>
      <c r="B570" t="s">
        <v>1873</v>
      </c>
      <c r="C570" t="s">
        <v>1842</v>
      </c>
      <c r="D570" t="str">
        <f>_xlfn.XLOOKUP(ISIC_Rev_5_english_structure__1[[#This Row],[Column4]],INDUSTRYGROUP!$C$2:$C$23,INDUSTRYGROUP!$D$2:$D$23,"NONE")</f>
        <v>NONE</v>
      </c>
      <c r="E570" t="str">
        <f>_xlfn.XLOOKUP(LEFT(A570,2),SECTOR!$A$2:$A$88,SECTOR!$A$2:$A$88,"")</f>
        <v/>
      </c>
      <c r="F570" t="str">
        <f>_xlfn.XLOOKUP(LEFT(A570,2),SECTOR!$A$2:$A$88,SECTOR!$B$2:$B$88,"")</f>
        <v/>
      </c>
      <c r="G570" t="str">
        <f>_xlfn.XLOOKUP(LEFT(A570,3),INDUSTRY!$A$2:$A$259,INDUSTRY!$A$2:$A$259,"")</f>
        <v>649</v>
      </c>
      <c r="H570" t="str">
        <f>_xlfn.XLOOKUP(LEFT(A570,3),INDUSTRY!$A$2:$A$259,INDUSTRY!$B$2:$B$259,"")</f>
        <v>Other financial service activities, except insurance and pension funding activities</v>
      </c>
      <c r="I570" t="str">
        <f t="shared" si="16"/>
        <v>6493</v>
      </c>
      <c r="J570" t="str">
        <f t="shared" si="17"/>
        <v>Factoring activities</v>
      </c>
    </row>
    <row r="571" spans="1:10" x14ac:dyDescent="0.25">
      <c r="A571" t="s">
        <v>1874</v>
      </c>
      <c r="B571" t="s">
        <v>1875</v>
      </c>
      <c r="C571" t="s">
        <v>1842</v>
      </c>
      <c r="D571" t="str">
        <f>_xlfn.XLOOKUP(ISIC_Rev_5_english_structure__1[[#This Row],[Column4]],INDUSTRYGROUP!$C$2:$C$23,INDUSTRYGROUP!$D$2:$D$23,"NONE")</f>
        <v>NONE</v>
      </c>
      <c r="E571" t="str">
        <f>_xlfn.XLOOKUP(LEFT(A571,2),SECTOR!$A$2:$A$88,SECTOR!$A$2:$A$88,"")</f>
        <v/>
      </c>
      <c r="F571" t="str">
        <f>_xlfn.XLOOKUP(LEFT(A571,2),SECTOR!$A$2:$A$88,SECTOR!$B$2:$B$88,"")</f>
        <v/>
      </c>
      <c r="G571" t="str">
        <f>_xlfn.XLOOKUP(LEFT(A571,3),INDUSTRY!$A$2:$A$259,INDUSTRY!$A$2:$A$259,"")</f>
        <v>649</v>
      </c>
      <c r="H571" t="str">
        <f>_xlfn.XLOOKUP(LEFT(A571,3),INDUSTRY!$A$2:$A$259,INDUSTRY!$B$2:$B$259,"")</f>
        <v>Other financial service activities, except insurance and pension funding activities</v>
      </c>
      <c r="I571" t="str">
        <f t="shared" si="16"/>
        <v>6494</v>
      </c>
      <c r="J571" t="str">
        <f t="shared" si="17"/>
        <v>Securitisation activities</v>
      </c>
    </row>
    <row r="572" spans="1:10" x14ac:dyDescent="0.25">
      <c r="A572" t="s">
        <v>1876</v>
      </c>
      <c r="B572" t="s">
        <v>1877</v>
      </c>
      <c r="C572" t="s">
        <v>1842</v>
      </c>
      <c r="D572" t="str">
        <f>_xlfn.XLOOKUP(ISIC_Rev_5_english_structure__1[[#This Row],[Column4]],INDUSTRYGROUP!$C$2:$C$23,INDUSTRYGROUP!$D$2:$D$23,"NONE")</f>
        <v>NONE</v>
      </c>
      <c r="E572" t="str">
        <f>_xlfn.XLOOKUP(LEFT(A572,2),SECTOR!$A$2:$A$88,SECTOR!$A$2:$A$88,"")</f>
        <v/>
      </c>
      <c r="F572" t="str">
        <f>_xlfn.XLOOKUP(LEFT(A572,2),SECTOR!$A$2:$A$88,SECTOR!$B$2:$B$88,"")</f>
        <v/>
      </c>
      <c r="G572" t="str">
        <f>_xlfn.XLOOKUP(LEFT(A572,3),INDUSTRY!$A$2:$A$259,INDUSTRY!$A$2:$A$259,"")</f>
        <v>649</v>
      </c>
      <c r="H572" t="str">
        <f>_xlfn.XLOOKUP(LEFT(A572,3),INDUSTRY!$A$2:$A$259,INDUSTRY!$B$2:$B$259,"")</f>
        <v>Other financial service activities, except insurance and pension funding activities</v>
      </c>
      <c r="I572" t="str">
        <f t="shared" si="16"/>
        <v>6495</v>
      </c>
      <c r="J572" t="str">
        <f t="shared" si="17"/>
        <v>Other credit granting activities</v>
      </c>
    </row>
    <row r="573" spans="1:10" x14ac:dyDescent="0.25">
      <c r="A573" t="s">
        <v>1878</v>
      </c>
      <c r="B573" t="s">
        <v>1879</v>
      </c>
      <c r="C573" t="s">
        <v>1842</v>
      </c>
      <c r="D573" t="str">
        <f>_xlfn.XLOOKUP(ISIC_Rev_5_english_structure__1[[#This Row],[Column4]],INDUSTRYGROUP!$C$2:$C$23,INDUSTRYGROUP!$D$2:$D$23,"NONE")</f>
        <v>NONE</v>
      </c>
      <c r="E573" t="str">
        <f>_xlfn.XLOOKUP(LEFT(A573,2),SECTOR!$A$2:$A$88,SECTOR!$A$2:$A$88,"")</f>
        <v/>
      </c>
      <c r="F573" t="str">
        <f>_xlfn.XLOOKUP(LEFT(A573,2),SECTOR!$A$2:$A$88,SECTOR!$B$2:$B$88,"")</f>
        <v/>
      </c>
      <c r="G573" t="str">
        <f>_xlfn.XLOOKUP(LEFT(A573,3),INDUSTRY!$A$2:$A$259,INDUSTRY!$A$2:$A$259,"")</f>
        <v>649</v>
      </c>
      <c r="H573" t="str">
        <f>_xlfn.XLOOKUP(LEFT(A573,3),INDUSTRY!$A$2:$A$259,INDUSTRY!$B$2:$B$259,"")</f>
        <v>Other financial service activities, except insurance and pension funding activities</v>
      </c>
      <c r="I573" t="str">
        <f t="shared" si="16"/>
        <v>6499</v>
      </c>
      <c r="J573" t="str">
        <f t="shared" si="17"/>
        <v>Other financial service activities n.e.c., except insurance and pension funding activities</v>
      </c>
    </row>
    <row r="574" spans="1:10" x14ac:dyDescent="0.25">
      <c r="A574" t="s">
        <v>1880</v>
      </c>
      <c r="B574" t="s">
        <v>1881</v>
      </c>
      <c r="C574" t="s">
        <v>1842</v>
      </c>
      <c r="D574" t="str">
        <f>_xlfn.XLOOKUP(ISIC_Rev_5_english_structure__1[[#This Row],[Column4]],INDUSTRYGROUP!$C$2:$C$23,INDUSTRYGROUP!$D$2:$D$23,"NONE")</f>
        <v>NONE</v>
      </c>
      <c r="E574" t="str">
        <f>_xlfn.XLOOKUP(LEFT(A574,2),SECTOR!$A$2:$A$88,SECTOR!$A$2:$A$88,"")</f>
        <v/>
      </c>
      <c r="F574" t="str">
        <f>_xlfn.XLOOKUP(LEFT(A574,2),SECTOR!$A$2:$A$88,SECTOR!$B$2:$B$88,"")</f>
        <v/>
      </c>
      <c r="G574" t="str">
        <f>_xlfn.XLOOKUP(LEFT(A574,3),INDUSTRY!$A$2:$A$259,INDUSTRY!$A$2:$A$259,"")</f>
        <v/>
      </c>
      <c r="H574" t="str">
        <f>_xlfn.XLOOKUP(LEFT(A574,3),INDUSTRY!$A$2:$A$259,INDUSTRY!$B$2:$B$259,"")</f>
        <v/>
      </c>
      <c r="I574" t="str">
        <f t="shared" si="16"/>
        <v/>
      </c>
      <c r="J574" t="str">
        <f t="shared" si="17"/>
        <v/>
      </c>
    </row>
    <row r="575" spans="1:10" x14ac:dyDescent="0.25">
      <c r="A575" t="s">
        <v>1882</v>
      </c>
      <c r="B575" t="s">
        <v>1883</v>
      </c>
      <c r="C575" t="s">
        <v>1842</v>
      </c>
      <c r="D575" t="str">
        <f>_xlfn.XLOOKUP(ISIC_Rev_5_english_structure__1[[#This Row],[Column4]],INDUSTRYGROUP!$C$2:$C$23,INDUSTRYGROUP!$D$2:$D$23,"NONE")</f>
        <v>NONE</v>
      </c>
      <c r="E575" t="str">
        <f>_xlfn.XLOOKUP(LEFT(A575,2),SECTOR!$A$2:$A$88,SECTOR!$A$2:$A$88,"")</f>
        <v/>
      </c>
      <c r="F575" t="str">
        <f>_xlfn.XLOOKUP(LEFT(A575,2),SECTOR!$A$2:$A$88,SECTOR!$B$2:$B$88,"")</f>
        <v/>
      </c>
      <c r="G575" t="str">
        <f>_xlfn.XLOOKUP(LEFT(A575,3),INDUSTRY!$A$2:$A$259,INDUSTRY!$A$2:$A$259,"")</f>
        <v>651</v>
      </c>
      <c r="H575" t="str">
        <f>_xlfn.XLOOKUP(LEFT(A575,3),INDUSTRY!$A$2:$A$259,INDUSTRY!$B$2:$B$259,"")</f>
        <v>Insurance</v>
      </c>
      <c r="I575" t="str">
        <f t="shared" si="16"/>
        <v/>
      </c>
      <c r="J575" t="str">
        <f t="shared" si="17"/>
        <v/>
      </c>
    </row>
    <row r="576" spans="1:10" x14ac:dyDescent="0.25">
      <c r="A576" t="s">
        <v>1884</v>
      </c>
      <c r="B576" t="s">
        <v>1885</v>
      </c>
      <c r="C576" t="s">
        <v>1842</v>
      </c>
      <c r="D576" t="str">
        <f>_xlfn.XLOOKUP(ISIC_Rev_5_english_structure__1[[#This Row],[Column4]],INDUSTRYGROUP!$C$2:$C$23,INDUSTRYGROUP!$D$2:$D$23,"NONE")</f>
        <v>NONE</v>
      </c>
      <c r="E576" t="str">
        <f>_xlfn.XLOOKUP(LEFT(A576,2),SECTOR!$A$2:$A$88,SECTOR!$A$2:$A$88,"")</f>
        <v/>
      </c>
      <c r="F576" t="str">
        <f>_xlfn.XLOOKUP(LEFT(A576,2),SECTOR!$A$2:$A$88,SECTOR!$B$2:$B$88,"")</f>
        <v/>
      </c>
      <c r="G576" t="str">
        <f>_xlfn.XLOOKUP(LEFT(A576,3),INDUSTRY!$A$2:$A$259,INDUSTRY!$A$2:$A$259,"")</f>
        <v>651</v>
      </c>
      <c r="H576" t="str">
        <f>_xlfn.XLOOKUP(LEFT(A576,3),INDUSTRY!$A$2:$A$259,INDUSTRY!$B$2:$B$259,"")</f>
        <v>Insurance</v>
      </c>
      <c r="I576" t="str">
        <f t="shared" si="16"/>
        <v>6511</v>
      </c>
      <c r="J576" t="str">
        <f t="shared" si="17"/>
        <v>Life insurance</v>
      </c>
    </row>
    <row r="577" spans="1:10" x14ac:dyDescent="0.25">
      <c r="A577" t="s">
        <v>1886</v>
      </c>
      <c r="B577" t="s">
        <v>1887</v>
      </c>
      <c r="C577" t="s">
        <v>1842</v>
      </c>
      <c r="D577" t="str">
        <f>_xlfn.XLOOKUP(ISIC_Rev_5_english_structure__1[[#This Row],[Column4]],INDUSTRYGROUP!$C$2:$C$23,INDUSTRYGROUP!$D$2:$D$23,"NONE")</f>
        <v>NONE</v>
      </c>
      <c r="E577" t="str">
        <f>_xlfn.XLOOKUP(LEFT(A577,2),SECTOR!$A$2:$A$88,SECTOR!$A$2:$A$88,"")</f>
        <v/>
      </c>
      <c r="F577" t="str">
        <f>_xlfn.XLOOKUP(LEFT(A577,2),SECTOR!$A$2:$A$88,SECTOR!$B$2:$B$88,"")</f>
        <v/>
      </c>
      <c r="G577" t="str">
        <f>_xlfn.XLOOKUP(LEFT(A577,3),INDUSTRY!$A$2:$A$259,INDUSTRY!$A$2:$A$259,"")</f>
        <v>651</v>
      </c>
      <c r="H577" t="str">
        <f>_xlfn.XLOOKUP(LEFT(A577,3),INDUSTRY!$A$2:$A$259,INDUSTRY!$B$2:$B$259,"")</f>
        <v>Insurance</v>
      </c>
      <c r="I577" t="str">
        <f t="shared" si="16"/>
        <v>6512</v>
      </c>
      <c r="J577" t="str">
        <f t="shared" si="17"/>
        <v>Non-life insurance</v>
      </c>
    </row>
    <row r="578" spans="1:10" x14ac:dyDescent="0.25">
      <c r="A578" t="s">
        <v>1888</v>
      </c>
      <c r="B578" t="s">
        <v>1889</v>
      </c>
      <c r="C578" t="s">
        <v>1842</v>
      </c>
      <c r="D578" t="str">
        <f>_xlfn.XLOOKUP(ISIC_Rev_5_english_structure__1[[#This Row],[Column4]],INDUSTRYGROUP!$C$2:$C$23,INDUSTRYGROUP!$D$2:$D$23,"NONE")</f>
        <v>NONE</v>
      </c>
      <c r="E578" t="str">
        <f>_xlfn.XLOOKUP(LEFT(A578,2),SECTOR!$A$2:$A$88,SECTOR!$A$2:$A$88,"")</f>
        <v/>
      </c>
      <c r="F578" t="str">
        <f>_xlfn.XLOOKUP(LEFT(A578,2),SECTOR!$A$2:$A$88,SECTOR!$B$2:$B$88,"")</f>
        <v/>
      </c>
      <c r="G578" t="str">
        <f>_xlfn.XLOOKUP(LEFT(A578,3),INDUSTRY!$A$2:$A$259,INDUSTRY!$A$2:$A$259,"")</f>
        <v>652</v>
      </c>
      <c r="H578" t="str">
        <f>_xlfn.XLOOKUP(LEFT(A578,3),INDUSTRY!$A$2:$A$259,INDUSTRY!$B$2:$B$259,"")</f>
        <v>Reinsurance</v>
      </c>
      <c r="I578" t="str">
        <f t="shared" ref="I578:I641" si="18">IF(LEN(A578)=4,A578,"")</f>
        <v/>
      </c>
      <c r="J578" t="str">
        <f t="shared" ref="J578:J641" si="19">IF(LEN(A578)=4,B578,"")</f>
        <v/>
      </c>
    </row>
    <row r="579" spans="1:10" x14ac:dyDescent="0.25">
      <c r="A579" t="s">
        <v>1890</v>
      </c>
      <c r="B579" t="s">
        <v>1889</v>
      </c>
      <c r="C579" t="s">
        <v>1842</v>
      </c>
      <c r="D579" t="str">
        <f>_xlfn.XLOOKUP(ISIC_Rev_5_english_structure__1[[#This Row],[Column4]],INDUSTRYGROUP!$C$2:$C$23,INDUSTRYGROUP!$D$2:$D$23,"NONE")</f>
        <v>NONE</v>
      </c>
      <c r="E579" t="str">
        <f>_xlfn.XLOOKUP(LEFT(A579,2),SECTOR!$A$2:$A$88,SECTOR!$A$2:$A$88,"")</f>
        <v/>
      </c>
      <c r="F579" t="str">
        <f>_xlfn.XLOOKUP(LEFT(A579,2),SECTOR!$A$2:$A$88,SECTOR!$B$2:$B$88,"")</f>
        <v/>
      </c>
      <c r="G579" t="str">
        <f>_xlfn.XLOOKUP(LEFT(A579,3),INDUSTRY!$A$2:$A$259,INDUSTRY!$A$2:$A$259,"")</f>
        <v>652</v>
      </c>
      <c r="H579" t="str">
        <f>_xlfn.XLOOKUP(LEFT(A579,3),INDUSTRY!$A$2:$A$259,INDUSTRY!$B$2:$B$259,"")</f>
        <v>Reinsurance</v>
      </c>
      <c r="I579" t="str">
        <f t="shared" si="18"/>
        <v>6520</v>
      </c>
      <c r="J579" t="str">
        <f t="shared" si="19"/>
        <v>Reinsurance</v>
      </c>
    </row>
    <row r="580" spans="1:10" x14ac:dyDescent="0.25">
      <c r="A580" t="s">
        <v>1891</v>
      </c>
      <c r="B580" t="s">
        <v>1892</v>
      </c>
      <c r="C580" t="s">
        <v>1842</v>
      </c>
      <c r="D580" t="str">
        <f>_xlfn.XLOOKUP(ISIC_Rev_5_english_structure__1[[#This Row],[Column4]],INDUSTRYGROUP!$C$2:$C$23,INDUSTRYGROUP!$D$2:$D$23,"NONE")</f>
        <v>NONE</v>
      </c>
      <c r="E580" t="str">
        <f>_xlfn.XLOOKUP(LEFT(A580,2),SECTOR!$A$2:$A$88,SECTOR!$A$2:$A$88,"")</f>
        <v/>
      </c>
      <c r="F580" t="str">
        <f>_xlfn.XLOOKUP(LEFT(A580,2),SECTOR!$A$2:$A$88,SECTOR!$B$2:$B$88,"")</f>
        <v/>
      </c>
      <c r="G580" t="str">
        <f>_xlfn.XLOOKUP(LEFT(A580,3),INDUSTRY!$A$2:$A$259,INDUSTRY!$A$2:$A$259,"")</f>
        <v>653</v>
      </c>
      <c r="H580" t="str">
        <f>_xlfn.XLOOKUP(LEFT(A580,3),INDUSTRY!$A$2:$A$259,INDUSTRY!$B$2:$B$259,"")</f>
        <v>Pension funding</v>
      </c>
      <c r="I580" t="str">
        <f t="shared" si="18"/>
        <v/>
      </c>
      <c r="J580" t="str">
        <f t="shared" si="19"/>
        <v/>
      </c>
    </row>
    <row r="581" spans="1:10" x14ac:dyDescent="0.25">
      <c r="A581" t="s">
        <v>1893</v>
      </c>
      <c r="B581" t="s">
        <v>1892</v>
      </c>
      <c r="C581" t="s">
        <v>1842</v>
      </c>
      <c r="D581" t="str">
        <f>_xlfn.XLOOKUP(ISIC_Rev_5_english_structure__1[[#This Row],[Column4]],INDUSTRYGROUP!$C$2:$C$23,INDUSTRYGROUP!$D$2:$D$23,"NONE")</f>
        <v>NONE</v>
      </c>
      <c r="E581" t="str">
        <f>_xlfn.XLOOKUP(LEFT(A581,2),SECTOR!$A$2:$A$88,SECTOR!$A$2:$A$88,"")</f>
        <v/>
      </c>
      <c r="F581" t="str">
        <f>_xlfn.XLOOKUP(LEFT(A581,2),SECTOR!$A$2:$A$88,SECTOR!$B$2:$B$88,"")</f>
        <v/>
      </c>
      <c r="G581" t="str">
        <f>_xlfn.XLOOKUP(LEFT(A581,3),INDUSTRY!$A$2:$A$259,INDUSTRY!$A$2:$A$259,"")</f>
        <v>653</v>
      </c>
      <c r="H581" t="str">
        <f>_xlfn.XLOOKUP(LEFT(A581,3),INDUSTRY!$A$2:$A$259,INDUSTRY!$B$2:$B$259,"")</f>
        <v>Pension funding</v>
      </c>
      <c r="I581" t="str">
        <f t="shared" si="18"/>
        <v>6530</v>
      </c>
      <c r="J581" t="str">
        <f t="shared" si="19"/>
        <v>Pension funding</v>
      </c>
    </row>
    <row r="582" spans="1:10" x14ac:dyDescent="0.25">
      <c r="A582" t="s">
        <v>1894</v>
      </c>
      <c r="B582" t="s">
        <v>1895</v>
      </c>
      <c r="C582" t="s">
        <v>1842</v>
      </c>
      <c r="D582" t="str">
        <f>_xlfn.XLOOKUP(ISIC_Rev_5_english_structure__1[[#This Row],[Column4]],INDUSTRYGROUP!$C$2:$C$23,INDUSTRYGROUP!$D$2:$D$23,"NONE")</f>
        <v>NONE</v>
      </c>
      <c r="E582" t="str">
        <f>_xlfn.XLOOKUP(LEFT(A582,2),SECTOR!$A$2:$A$88,SECTOR!$A$2:$A$88,"")</f>
        <v/>
      </c>
      <c r="F582" t="str">
        <f>_xlfn.XLOOKUP(LEFT(A582,2),SECTOR!$A$2:$A$88,SECTOR!$B$2:$B$88,"")</f>
        <v/>
      </c>
      <c r="G582" t="str">
        <f>_xlfn.XLOOKUP(LEFT(A582,3),INDUSTRY!$A$2:$A$259,INDUSTRY!$A$2:$A$259,"")</f>
        <v/>
      </c>
      <c r="H582" t="str">
        <f>_xlfn.XLOOKUP(LEFT(A582,3),INDUSTRY!$A$2:$A$259,INDUSTRY!$B$2:$B$259,"")</f>
        <v/>
      </c>
      <c r="I582" t="str">
        <f t="shared" si="18"/>
        <v/>
      </c>
      <c r="J582" t="str">
        <f t="shared" si="19"/>
        <v/>
      </c>
    </row>
    <row r="583" spans="1:10" x14ac:dyDescent="0.25">
      <c r="A583" t="s">
        <v>1896</v>
      </c>
      <c r="B583" t="s">
        <v>1897</v>
      </c>
      <c r="C583" t="s">
        <v>1842</v>
      </c>
      <c r="D583" t="str">
        <f>_xlfn.XLOOKUP(ISIC_Rev_5_english_structure__1[[#This Row],[Column4]],INDUSTRYGROUP!$C$2:$C$23,INDUSTRYGROUP!$D$2:$D$23,"NONE")</f>
        <v>NONE</v>
      </c>
      <c r="E583" t="str">
        <f>_xlfn.XLOOKUP(LEFT(A583,2),SECTOR!$A$2:$A$88,SECTOR!$A$2:$A$88,"")</f>
        <v/>
      </c>
      <c r="F583" t="str">
        <f>_xlfn.XLOOKUP(LEFT(A583,2),SECTOR!$A$2:$A$88,SECTOR!$B$2:$B$88,"")</f>
        <v/>
      </c>
      <c r="G583" t="str">
        <f>_xlfn.XLOOKUP(LEFT(A583,3),INDUSTRY!$A$2:$A$259,INDUSTRY!$A$2:$A$259,"")</f>
        <v>661</v>
      </c>
      <c r="H583" t="str">
        <f>_xlfn.XLOOKUP(LEFT(A583,3),INDUSTRY!$A$2:$A$259,INDUSTRY!$B$2:$B$259,"")</f>
        <v>Activities auxiliary to financial services, except insurance and pension funding</v>
      </c>
      <c r="I583" t="str">
        <f t="shared" si="18"/>
        <v/>
      </c>
      <c r="J583" t="str">
        <f t="shared" si="19"/>
        <v/>
      </c>
    </row>
    <row r="584" spans="1:10" x14ac:dyDescent="0.25">
      <c r="A584" t="s">
        <v>1898</v>
      </c>
      <c r="B584" t="s">
        <v>1899</v>
      </c>
      <c r="C584" t="s">
        <v>1842</v>
      </c>
      <c r="D584" t="str">
        <f>_xlfn.XLOOKUP(ISIC_Rev_5_english_structure__1[[#This Row],[Column4]],INDUSTRYGROUP!$C$2:$C$23,INDUSTRYGROUP!$D$2:$D$23,"NONE")</f>
        <v>NONE</v>
      </c>
      <c r="E584" t="str">
        <f>_xlfn.XLOOKUP(LEFT(A584,2),SECTOR!$A$2:$A$88,SECTOR!$A$2:$A$88,"")</f>
        <v/>
      </c>
      <c r="F584" t="str">
        <f>_xlfn.XLOOKUP(LEFT(A584,2),SECTOR!$A$2:$A$88,SECTOR!$B$2:$B$88,"")</f>
        <v/>
      </c>
      <c r="G584" t="str">
        <f>_xlfn.XLOOKUP(LEFT(A584,3),INDUSTRY!$A$2:$A$259,INDUSTRY!$A$2:$A$259,"")</f>
        <v>661</v>
      </c>
      <c r="H584" t="str">
        <f>_xlfn.XLOOKUP(LEFT(A584,3),INDUSTRY!$A$2:$A$259,INDUSTRY!$B$2:$B$259,"")</f>
        <v>Activities auxiliary to financial services, except insurance and pension funding</v>
      </c>
      <c r="I584" t="str">
        <f t="shared" si="18"/>
        <v>6611</v>
      </c>
      <c r="J584" t="str">
        <f t="shared" si="19"/>
        <v>Administration of financial markets</v>
      </c>
    </row>
    <row r="585" spans="1:10" x14ac:dyDescent="0.25">
      <c r="A585" t="s">
        <v>1900</v>
      </c>
      <c r="B585" t="s">
        <v>1901</v>
      </c>
      <c r="C585" t="s">
        <v>1842</v>
      </c>
      <c r="D585" t="str">
        <f>_xlfn.XLOOKUP(ISIC_Rev_5_english_structure__1[[#This Row],[Column4]],INDUSTRYGROUP!$C$2:$C$23,INDUSTRYGROUP!$D$2:$D$23,"NONE")</f>
        <v>NONE</v>
      </c>
      <c r="E585" t="str">
        <f>_xlfn.XLOOKUP(LEFT(A585,2),SECTOR!$A$2:$A$88,SECTOR!$A$2:$A$88,"")</f>
        <v/>
      </c>
      <c r="F585" t="str">
        <f>_xlfn.XLOOKUP(LEFT(A585,2),SECTOR!$A$2:$A$88,SECTOR!$B$2:$B$88,"")</f>
        <v/>
      </c>
      <c r="G585" t="str">
        <f>_xlfn.XLOOKUP(LEFT(A585,3),INDUSTRY!$A$2:$A$259,INDUSTRY!$A$2:$A$259,"")</f>
        <v>661</v>
      </c>
      <c r="H585" t="str">
        <f>_xlfn.XLOOKUP(LEFT(A585,3),INDUSTRY!$A$2:$A$259,INDUSTRY!$B$2:$B$259,"")</f>
        <v>Activities auxiliary to financial services, except insurance and pension funding</v>
      </c>
      <c r="I585" t="str">
        <f t="shared" si="18"/>
        <v>6612</v>
      </c>
      <c r="J585" t="str">
        <f t="shared" si="19"/>
        <v>Security and commodity contracts brokerage</v>
      </c>
    </row>
    <row r="586" spans="1:10" x14ac:dyDescent="0.25">
      <c r="A586" t="s">
        <v>1902</v>
      </c>
      <c r="B586" t="s">
        <v>1903</v>
      </c>
      <c r="C586" t="s">
        <v>1842</v>
      </c>
      <c r="D586" t="str">
        <f>_xlfn.XLOOKUP(ISIC_Rev_5_english_structure__1[[#This Row],[Column4]],INDUSTRYGROUP!$C$2:$C$23,INDUSTRYGROUP!$D$2:$D$23,"NONE")</f>
        <v>NONE</v>
      </c>
      <c r="E586" t="str">
        <f>_xlfn.XLOOKUP(LEFT(A586,2),SECTOR!$A$2:$A$88,SECTOR!$A$2:$A$88,"")</f>
        <v/>
      </c>
      <c r="F586" t="str">
        <f>_xlfn.XLOOKUP(LEFT(A586,2),SECTOR!$A$2:$A$88,SECTOR!$B$2:$B$88,"")</f>
        <v/>
      </c>
      <c r="G586" t="str">
        <f>_xlfn.XLOOKUP(LEFT(A586,3),INDUSTRY!$A$2:$A$259,INDUSTRY!$A$2:$A$259,"")</f>
        <v>661</v>
      </c>
      <c r="H586" t="str">
        <f>_xlfn.XLOOKUP(LEFT(A586,3),INDUSTRY!$A$2:$A$259,INDUSTRY!$B$2:$B$259,"")</f>
        <v>Activities auxiliary to financial services, except insurance and pension funding</v>
      </c>
      <c r="I586" t="str">
        <f t="shared" si="18"/>
        <v>6619</v>
      </c>
      <c r="J586" t="str">
        <f t="shared" si="19"/>
        <v xml:space="preserve">Other activities auxiliary to financial service activities, except insurance and pension funding </v>
      </c>
    </row>
    <row r="587" spans="1:10" x14ac:dyDescent="0.25">
      <c r="A587" t="s">
        <v>1904</v>
      </c>
      <c r="B587" t="s">
        <v>1905</v>
      </c>
      <c r="C587" t="s">
        <v>1842</v>
      </c>
      <c r="D587" t="str">
        <f>_xlfn.XLOOKUP(ISIC_Rev_5_english_structure__1[[#This Row],[Column4]],INDUSTRYGROUP!$C$2:$C$23,INDUSTRYGROUP!$D$2:$D$23,"NONE")</f>
        <v>NONE</v>
      </c>
      <c r="E587" t="str">
        <f>_xlfn.XLOOKUP(LEFT(A587,2),SECTOR!$A$2:$A$88,SECTOR!$A$2:$A$88,"")</f>
        <v/>
      </c>
      <c r="F587" t="str">
        <f>_xlfn.XLOOKUP(LEFT(A587,2),SECTOR!$A$2:$A$88,SECTOR!$B$2:$B$88,"")</f>
        <v/>
      </c>
      <c r="G587" t="str">
        <f>_xlfn.XLOOKUP(LEFT(A587,3),INDUSTRY!$A$2:$A$259,INDUSTRY!$A$2:$A$259,"")</f>
        <v>662</v>
      </c>
      <c r="H587" t="str">
        <f>_xlfn.XLOOKUP(LEFT(A587,3),INDUSTRY!$A$2:$A$259,INDUSTRY!$B$2:$B$259,"")</f>
        <v>Activities auxiliary to insurance and pension funding</v>
      </c>
      <c r="I587" t="str">
        <f t="shared" si="18"/>
        <v/>
      </c>
      <c r="J587" t="str">
        <f t="shared" si="19"/>
        <v/>
      </c>
    </row>
    <row r="588" spans="1:10" x14ac:dyDescent="0.25">
      <c r="A588" t="s">
        <v>1906</v>
      </c>
      <c r="B588" t="s">
        <v>1907</v>
      </c>
      <c r="C588" t="s">
        <v>1842</v>
      </c>
      <c r="D588" t="str">
        <f>_xlfn.XLOOKUP(ISIC_Rev_5_english_structure__1[[#This Row],[Column4]],INDUSTRYGROUP!$C$2:$C$23,INDUSTRYGROUP!$D$2:$D$23,"NONE")</f>
        <v>NONE</v>
      </c>
      <c r="E588" t="str">
        <f>_xlfn.XLOOKUP(LEFT(A588,2),SECTOR!$A$2:$A$88,SECTOR!$A$2:$A$88,"")</f>
        <v/>
      </c>
      <c r="F588" t="str">
        <f>_xlfn.XLOOKUP(LEFT(A588,2),SECTOR!$A$2:$A$88,SECTOR!$B$2:$B$88,"")</f>
        <v/>
      </c>
      <c r="G588" t="str">
        <f>_xlfn.XLOOKUP(LEFT(A588,3),INDUSTRY!$A$2:$A$259,INDUSTRY!$A$2:$A$259,"")</f>
        <v>662</v>
      </c>
      <c r="H588" t="str">
        <f>_xlfn.XLOOKUP(LEFT(A588,3),INDUSTRY!$A$2:$A$259,INDUSTRY!$B$2:$B$259,"")</f>
        <v>Activities auxiliary to insurance and pension funding</v>
      </c>
      <c r="I588" t="str">
        <f t="shared" si="18"/>
        <v>6621</v>
      </c>
      <c r="J588" t="str">
        <f t="shared" si="19"/>
        <v>Risk and damage evaluation</v>
      </c>
    </row>
    <row r="589" spans="1:10" x14ac:dyDescent="0.25">
      <c r="A589" t="s">
        <v>1908</v>
      </c>
      <c r="B589" t="s">
        <v>1909</v>
      </c>
      <c r="C589" t="s">
        <v>1842</v>
      </c>
      <c r="D589" t="str">
        <f>_xlfn.XLOOKUP(ISIC_Rev_5_english_structure__1[[#This Row],[Column4]],INDUSTRYGROUP!$C$2:$C$23,INDUSTRYGROUP!$D$2:$D$23,"NONE")</f>
        <v>NONE</v>
      </c>
      <c r="E589" t="str">
        <f>_xlfn.XLOOKUP(LEFT(A589,2),SECTOR!$A$2:$A$88,SECTOR!$A$2:$A$88,"")</f>
        <v/>
      </c>
      <c r="F589" t="str">
        <f>_xlfn.XLOOKUP(LEFT(A589,2),SECTOR!$A$2:$A$88,SECTOR!$B$2:$B$88,"")</f>
        <v/>
      </c>
      <c r="G589" t="str">
        <f>_xlfn.XLOOKUP(LEFT(A589,3),INDUSTRY!$A$2:$A$259,INDUSTRY!$A$2:$A$259,"")</f>
        <v>662</v>
      </c>
      <c r="H589" t="str">
        <f>_xlfn.XLOOKUP(LEFT(A589,3),INDUSTRY!$A$2:$A$259,INDUSTRY!$B$2:$B$259,"")</f>
        <v>Activities auxiliary to insurance and pension funding</v>
      </c>
      <c r="I589" t="str">
        <f t="shared" si="18"/>
        <v>6622</v>
      </c>
      <c r="J589" t="str">
        <f t="shared" si="19"/>
        <v>Activities of insurance agents and brokers</v>
      </c>
    </row>
    <row r="590" spans="1:10" x14ac:dyDescent="0.25">
      <c r="A590" t="s">
        <v>1910</v>
      </c>
      <c r="B590" t="s">
        <v>1911</v>
      </c>
      <c r="C590" t="s">
        <v>1842</v>
      </c>
      <c r="D590" t="str">
        <f>_xlfn.XLOOKUP(ISIC_Rev_5_english_structure__1[[#This Row],[Column4]],INDUSTRYGROUP!$C$2:$C$23,INDUSTRYGROUP!$D$2:$D$23,"NONE")</f>
        <v>NONE</v>
      </c>
      <c r="E590" t="str">
        <f>_xlfn.XLOOKUP(LEFT(A590,2),SECTOR!$A$2:$A$88,SECTOR!$A$2:$A$88,"")</f>
        <v/>
      </c>
      <c r="F590" t="str">
        <f>_xlfn.XLOOKUP(LEFT(A590,2),SECTOR!$A$2:$A$88,SECTOR!$B$2:$B$88,"")</f>
        <v/>
      </c>
      <c r="G590" t="str">
        <f>_xlfn.XLOOKUP(LEFT(A590,3),INDUSTRY!$A$2:$A$259,INDUSTRY!$A$2:$A$259,"")</f>
        <v>662</v>
      </c>
      <c r="H590" t="str">
        <f>_xlfn.XLOOKUP(LEFT(A590,3),INDUSTRY!$A$2:$A$259,INDUSTRY!$B$2:$B$259,"")</f>
        <v>Activities auxiliary to insurance and pension funding</v>
      </c>
      <c r="I590" t="str">
        <f t="shared" si="18"/>
        <v>6629</v>
      </c>
      <c r="J590" t="str">
        <f t="shared" si="19"/>
        <v>Other activities auxiliary to insurance and pension funding</v>
      </c>
    </row>
    <row r="591" spans="1:10" x14ac:dyDescent="0.25">
      <c r="A591" t="s">
        <v>1912</v>
      </c>
      <c r="B591" t="s">
        <v>1913</v>
      </c>
      <c r="C591" t="s">
        <v>1842</v>
      </c>
      <c r="D591" t="str">
        <f>_xlfn.XLOOKUP(ISIC_Rev_5_english_structure__1[[#This Row],[Column4]],INDUSTRYGROUP!$C$2:$C$23,INDUSTRYGROUP!$D$2:$D$23,"NONE")</f>
        <v>NONE</v>
      </c>
      <c r="E591" t="str">
        <f>_xlfn.XLOOKUP(LEFT(A591,2),SECTOR!$A$2:$A$88,SECTOR!$A$2:$A$88,"")</f>
        <v/>
      </c>
      <c r="F591" t="str">
        <f>_xlfn.XLOOKUP(LEFT(A591,2),SECTOR!$A$2:$A$88,SECTOR!$B$2:$B$88,"")</f>
        <v/>
      </c>
      <c r="G591" t="str">
        <f>_xlfn.XLOOKUP(LEFT(A591,3),INDUSTRY!$A$2:$A$259,INDUSTRY!$A$2:$A$259,"")</f>
        <v>663</v>
      </c>
      <c r="H591" t="str">
        <f>_xlfn.XLOOKUP(LEFT(A591,3),INDUSTRY!$A$2:$A$259,INDUSTRY!$B$2:$B$259,"")</f>
        <v>Fund management activities</v>
      </c>
      <c r="I591" t="str">
        <f t="shared" si="18"/>
        <v/>
      </c>
      <c r="J591" t="str">
        <f t="shared" si="19"/>
        <v/>
      </c>
    </row>
    <row r="592" spans="1:10" x14ac:dyDescent="0.25">
      <c r="A592" t="s">
        <v>1914</v>
      </c>
      <c r="B592" t="s">
        <v>1913</v>
      </c>
      <c r="C592" t="s">
        <v>1842</v>
      </c>
      <c r="D592" t="str">
        <f>_xlfn.XLOOKUP(ISIC_Rev_5_english_structure__1[[#This Row],[Column4]],INDUSTRYGROUP!$C$2:$C$23,INDUSTRYGROUP!$D$2:$D$23,"NONE")</f>
        <v>NONE</v>
      </c>
      <c r="E592" t="str">
        <f>_xlfn.XLOOKUP(LEFT(A592,2),SECTOR!$A$2:$A$88,SECTOR!$A$2:$A$88,"")</f>
        <v/>
      </c>
      <c r="F592" t="str">
        <f>_xlfn.XLOOKUP(LEFT(A592,2),SECTOR!$A$2:$A$88,SECTOR!$B$2:$B$88,"")</f>
        <v/>
      </c>
      <c r="G592" t="str">
        <f>_xlfn.XLOOKUP(LEFT(A592,3),INDUSTRY!$A$2:$A$259,INDUSTRY!$A$2:$A$259,"")</f>
        <v>663</v>
      </c>
      <c r="H592" t="str">
        <f>_xlfn.XLOOKUP(LEFT(A592,3),INDUSTRY!$A$2:$A$259,INDUSTRY!$B$2:$B$259,"")</f>
        <v>Fund management activities</v>
      </c>
      <c r="I592" t="str">
        <f t="shared" si="18"/>
        <v>6630</v>
      </c>
      <c r="J592" t="str">
        <f t="shared" si="19"/>
        <v>Fund management activities</v>
      </c>
    </row>
    <row r="593" spans="1:10" x14ac:dyDescent="0.25">
      <c r="A593" t="s">
        <v>1915</v>
      </c>
      <c r="B593" t="s">
        <v>1916</v>
      </c>
      <c r="C593" t="s">
        <v>1915</v>
      </c>
      <c r="D593" t="str">
        <f>_xlfn.XLOOKUP(ISIC_Rev_5_english_structure__1[[#This Row],[Column4]],INDUSTRYGROUP!$C$2:$C$23,INDUSTRYGROUP!$D$2:$D$23,"NONE")</f>
        <v>NONE</v>
      </c>
      <c r="E593" t="str">
        <f>_xlfn.XLOOKUP(LEFT(A593,2),SECTOR!$A$2:$A$88,SECTOR!$A$2:$A$88,"")</f>
        <v>M</v>
      </c>
      <c r="F593" t="str">
        <f>_xlfn.XLOOKUP(LEFT(A593,2),SECTOR!$A$2:$A$88,SECTOR!$B$2:$B$88,"")</f>
        <v>Real estate activities</v>
      </c>
      <c r="G593" t="str">
        <f>_xlfn.XLOOKUP(LEFT(A593,3),INDUSTRY!$A$2:$A$259,INDUSTRY!$A$2:$A$259,"")</f>
        <v/>
      </c>
      <c r="H593" t="str">
        <f>_xlfn.XLOOKUP(LEFT(A593,3),INDUSTRY!$A$2:$A$259,INDUSTRY!$B$2:$B$259,"")</f>
        <v/>
      </c>
      <c r="I593" t="str">
        <f t="shared" si="18"/>
        <v/>
      </c>
      <c r="J593" t="str">
        <f t="shared" si="19"/>
        <v/>
      </c>
    </row>
    <row r="594" spans="1:10" x14ac:dyDescent="0.25">
      <c r="A594" t="s">
        <v>1917</v>
      </c>
      <c r="B594" t="s">
        <v>1916</v>
      </c>
      <c r="C594" t="s">
        <v>1915</v>
      </c>
      <c r="D594" t="str">
        <f>_xlfn.XLOOKUP(ISIC_Rev_5_english_structure__1[[#This Row],[Column4]],INDUSTRYGROUP!$C$2:$C$23,INDUSTRYGROUP!$D$2:$D$23,"NONE")</f>
        <v>NONE</v>
      </c>
      <c r="E594" t="str">
        <f>_xlfn.XLOOKUP(LEFT(A594,2),SECTOR!$A$2:$A$88,SECTOR!$A$2:$A$88,"")</f>
        <v/>
      </c>
      <c r="F594" t="str">
        <f>_xlfn.XLOOKUP(LEFT(A594,2),SECTOR!$A$2:$A$88,SECTOR!$B$2:$B$88,"")</f>
        <v/>
      </c>
      <c r="G594" t="str">
        <f>_xlfn.XLOOKUP(LEFT(A594,3),INDUSTRY!$A$2:$A$259,INDUSTRY!$A$2:$A$259,"")</f>
        <v/>
      </c>
      <c r="H594" t="str">
        <f>_xlfn.XLOOKUP(LEFT(A594,3),INDUSTRY!$A$2:$A$259,INDUSTRY!$B$2:$B$259,"")</f>
        <v/>
      </c>
      <c r="I594" t="str">
        <f t="shared" si="18"/>
        <v/>
      </c>
      <c r="J594" t="str">
        <f t="shared" si="19"/>
        <v/>
      </c>
    </row>
    <row r="595" spans="1:10" x14ac:dyDescent="0.25">
      <c r="A595" t="s">
        <v>1918</v>
      </c>
      <c r="B595" t="s">
        <v>1919</v>
      </c>
      <c r="C595" t="s">
        <v>1915</v>
      </c>
      <c r="D595" t="str">
        <f>_xlfn.XLOOKUP(ISIC_Rev_5_english_structure__1[[#This Row],[Column4]],INDUSTRYGROUP!$C$2:$C$23,INDUSTRYGROUP!$D$2:$D$23,"NONE")</f>
        <v>NONE</v>
      </c>
      <c r="E595" t="str">
        <f>_xlfn.XLOOKUP(LEFT(A595,2),SECTOR!$A$2:$A$88,SECTOR!$A$2:$A$88,"")</f>
        <v/>
      </c>
      <c r="F595" t="str">
        <f>_xlfn.XLOOKUP(LEFT(A595,2),SECTOR!$A$2:$A$88,SECTOR!$B$2:$B$88,"")</f>
        <v/>
      </c>
      <c r="G595" t="str">
        <f>_xlfn.XLOOKUP(LEFT(A595,3),INDUSTRY!$A$2:$A$259,INDUSTRY!$A$2:$A$259,"")</f>
        <v>681</v>
      </c>
      <c r="H595" t="str">
        <f>_xlfn.XLOOKUP(LEFT(A595,3),INDUSTRY!$A$2:$A$259,INDUSTRY!$B$2:$B$259,"")</f>
        <v>Real estate activities with own or leased property</v>
      </c>
      <c r="I595" t="str">
        <f t="shared" si="18"/>
        <v/>
      </c>
      <c r="J595" t="str">
        <f t="shared" si="19"/>
        <v/>
      </c>
    </row>
    <row r="596" spans="1:10" x14ac:dyDescent="0.25">
      <c r="A596" t="s">
        <v>1920</v>
      </c>
      <c r="B596" t="s">
        <v>1919</v>
      </c>
      <c r="C596" t="s">
        <v>1915</v>
      </c>
      <c r="D596" t="str">
        <f>_xlfn.XLOOKUP(ISIC_Rev_5_english_structure__1[[#This Row],[Column4]],INDUSTRYGROUP!$C$2:$C$23,INDUSTRYGROUP!$D$2:$D$23,"NONE")</f>
        <v>NONE</v>
      </c>
      <c r="E596" t="str">
        <f>_xlfn.XLOOKUP(LEFT(A596,2),SECTOR!$A$2:$A$88,SECTOR!$A$2:$A$88,"")</f>
        <v/>
      </c>
      <c r="F596" t="str">
        <f>_xlfn.XLOOKUP(LEFT(A596,2),SECTOR!$A$2:$A$88,SECTOR!$B$2:$B$88,"")</f>
        <v/>
      </c>
      <c r="G596" t="str">
        <f>_xlfn.XLOOKUP(LEFT(A596,3),INDUSTRY!$A$2:$A$259,INDUSTRY!$A$2:$A$259,"")</f>
        <v>681</v>
      </c>
      <c r="H596" t="str">
        <f>_xlfn.XLOOKUP(LEFT(A596,3),INDUSTRY!$A$2:$A$259,INDUSTRY!$B$2:$B$259,"")</f>
        <v>Real estate activities with own or leased property</v>
      </c>
      <c r="I596" t="str">
        <f t="shared" si="18"/>
        <v>6810</v>
      </c>
      <c r="J596" t="str">
        <f t="shared" si="19"/>
        <v>Real estate activities with own or leased property</v>
      </c>
    </row>
    <row r="597" spans="1:10" x14ac:dyDescent="0.25">
      <c r="A597" t="s">
        <v>1921</v>
      </c>
      <c r="B597" t="s">
        <v>1922</v>
      </c>
      <c r="C597" t="s">
        <v>1915</v>
      </c>
      <c r="D597" t="str">
        <f>_xlfn.XLOOKUP(ISIC_Rev_5_english_structure__1[[#This Row],[Column4]],INDUSTRYGROUP!$C$2:$C$23,INDUSTRYGROUP!$D$2:$D$23,"NONE")</f>
        <v>NONE</v>
      </c>
      <c r="E597" t="str">
        <f>_xlfn.XLOOKUP(LEFT(A597,2),SECTOR!$A$2:$A$88,SECTOR!$A$2:$A$88,"")</f>
        <v/>
      </c>
      <c r="F597" t="str">
        <f>_xlfn.XLOOKUP(LEFT(A597,2),SECTOR!$A$2:$A$88,SECTOR!$B$2:$B$88,"")</f>
        <v/>
      </c>
      <c r="G597" t="str">
        <f>_xlfn.XLOOKUP(LEFT(A597,3),INDUSTRY!$A$2:$A$259,INDUSTRY!$A$2:$A$259,"")</f>
        <v>682</v>
      </c>
      <c r="H597" t="str">
        <f>_xlfn.XLOOKUP(LEFT(A597,3),INDUSTRY!$A$2:$A$259,INDUSTRY!$B$2:$B$259,"")</f>
        <v>Real estate activities on a fee or contract basis</v>
      </c>
      <c r="I597" t="str">
        <f t="shared" si="18"/>
        <v/>
      </c>
      <c r="J597" t="str">
        <f t="shared" si="19"/>
        <v/>
      </c>
    </row>
    <row r="598" spans="1:10" x14ac:dyDescent="0.25">
      <c r="A598" t="s">
        <v>1923</v>
      </c>
      <c r="B598" t="s">
        <v>1924</v>
      </c>
      <c r="C598" t="s">
        <v>1915</v>
      </c>
      <c r="D598" t="str">
        <f>_xlfn.XLOOKUP(ISIC_Rev_5_english_structure__1[[#This Row],[Column4]],INDUSTRYGROUP!$C$2:$C$23,INDUSTRYGROUP!$D$2:$D$23,"NONE")</f>
        <v>NONE</v>
      </c>
      <c r="E598" t="str">
        <f>_xlfn.XLOOKUP(LEFT(A598,2),SECTOR!$A$2:$A$88,SECTOR!$A$2:$A$88,"")</f>
        <v/>
      </c>
      <c r="F598" t="str">
        <f>_xlfn.XLOOKUP(LEFT(A598,2),SECTOR!$A$2:$A$88,SECTOR!$B$2:$B$88,"")</f>
        <v/>
      </c>
      <c r="G598" t="str">
        <f>_xlfn.XLOOKUP(LEFT(A598,3),INDUSTRY!$A$2:$A$259,INDUSTRY!$A$2:$A$259,"")</f>
        <v>682</v>
      </c>
      <c r="H598" t="str">
        <f>_xlfn.XLOOKUP(LEFT(A598,3),INDUSTRY!$A$2:$A$259,INDUSTRY!$B$2:$B$259,"")</f>
        <v>Real estate activities on a fee or contract basis</v>
      </c>
      <c r="I598" t="str">
        <f t="shared" si="18"/>
        <v>6821</v>
      </c>
      <c r="J598" t="str">
        <f t="shared" si="19"/>
        <v>Intermediation service activities for real estate</v>
      </c>
    </row>
    <row r="599" spans="1:10" x14ac:dyDescent="0.25">
      <c r="A599" t="s">
        <v>1925</v>
      </c>
      <c r="B599" t="s">
        <v>1926</v>
      </c>
      <c r="C599" t="s">
        <v>1915</v>
      </c>
      <c r="D599" t="str">
        <f>_xlfn.XLOOKUP(ISIC_Rev_5_english_structure__1[[#This Row],[Column4]],INDUSTRYGROUP!$C$2:$C$23,INDUSTRYGROUP!$D$2:$D$23,"NONE")</f>
        <v>NONE</v>
      </c>
      <c r="E599" t="str">
        <f>_xlfn.XLOOKUP(LEFT(A599,2),SECTOR!$A$2:$A$88,SECTOR!$A$2:$A$88,"")</f>
        <v/>
      </c>
      <c r="F599" t="str">
        <f>_xlfn.XLOOKUP(LEFT(A599,2),SECTOR!$A$2:$A$88,SECTOR!$B$2:$B$88,"")</f>
        <v/>
      </c>
      <c r="G599" t="str">
        <f>_xlfn.XLOOKUP(LEFT(A599,3),INDUSTRY!$A$2:$A$259,INDUSTRY!$A$2:$A$259,"")</f>
        <v>682</v>
      </c>
      <c r="H599" t="str">
        <f>_xlfn.XLOOKUP(LEFT(A599,3),INDUSTRY!$A$2:$A$259,INDUSTRY!$B$2:$B$259,"")</f>
        <v>Real estate activities on a fee or contract basis</v>
      </c>
      <c r="I599" t="str">
        <f t="shared" si="18"/>
        <v>6829</v>
      </c>
      <c r="J599" t="str">
        <f t="shared" si="19"/>
        <v>Other real estate activities on a fee or contract basis</v>
      </c>
    </row>
    <row r="600" spans="1:10" x14ac:dyDescent="0.25">
      <c r="A600" t="s">
        <v>1927</v>
      </c>
      <c r="B600" t="s">
        <v>1928</v>
      </c>
      <c r="C600" t="s">
        <v>1927</v>
      </c>
      <c r="D600" t="str">
        <f>_xlfn.XLOOKUP(ISIC_Rev_5_english_structure__1[[#This Row],[Column4]],INDUSTRYGROUP!$C$2:$C$23,INDUSTRYGROUP!$D$2:$D$23,"NONE")</f>
        <v>NONE</v>
      </c>
      <c r="E600" t="str">
        <f>_xlfn.XLOOKUP(LEFT(A600,2),SECTOR!$A$2:$A$88,SECTOR!$A$2:$A$88,"")</f>
        <v>N</v>
      </c>
      <c r="F600" t="str">
        <f>_xlfn.XLOOKUP(LEFT(A600,2),SECTOR!$A$2:$A$88,SECTOR!$B$2:$B$88,"")</f>
        <v>Professional, scientific and technical activities</v>
      </c>
      <c r="G600" t="str">
        <f>_xlfn.XLOOKUP(LEFT(A600,3),INDUSTRY!$A$2:$A$259,INDUSTRY!$A$2:$A$259,"")</f>
        <v/>
      </c>
      <c r="H600" t="str">
        <f>_xlfn.XLOOKUP(LEFT(A600,3),INDUSTRY!$A$2:$A$259,INDUSTRY!$B$2:$B$259,"")</f>
        <v/>
      </c>
      <c r="I600" t="str">
        <f t="shared" si="18"/>
        <v/>
      </c>
      <c r="J600" t="str">
        <f t="shared" si="19"/>
        <v/>
      </c>
    </row>
    <row r="601" spans="1:10" x14ac:dyDescent="0.25">
      <c r="A601" t="s">
        <v>1929</v>
      </c>
      <c r="B601" t="s">
        <v>1930</v>
      </c>
      <c r="C601" t="s">
        <v>1927</v>
      </c>
      <c r="D601" t="str">
        <f>_xlfn.XLOOKUP(ISIC_Rev_5_english_structure__1[[#This Row],[Column4]],INDUSTRYGROUP!$C$2:$C$23,INDUSTRYGROUP!$D$2:$D$23,"NONE")</f>
        <v>NONE</v>
      </c>
      <c r="E601" t="str">
        <f>_xlfn.XLOOKUP(LEFT(A601,2),SECTOR!$A$2:$A$88,SECTOR!$A$2:$A$88,"")</f>
        <v/>
      </c>
      <c r="F601" t="str">
        <f>_xlfn.XLOOKUP(LEFT(A601,2),SECTOR!$A$2:$A$88,SECTOR!$B$2:$B$88,"")</f>
        <v/>
      </c>
      <c r="G601" t="str">
        <f>_xlfn.XLOOKUP(LEFT(A601,3),INDUSTRY!$A$2:$A$259,INDUSTRY!$A$2:$A$259,"")</f>
        <v/>
      </c>
      <c r="H601" t="str">
        <f>_xlfn.XLOOKUP(LEFT(A601,3),INDUSTRY!$A$2:$A$259,INDUSTRY!$B$2:$B$259,"")</f>
        <v/>
      </c>
      <c r="I601" t="str">
        <f t="shared" si="18"/>
        <v/>
      </c>
      <c r="J601" t="str">
        <f t="shared" si="19"/>
        <v/>
      </c>
    </row>
    <row r="602" spans="1:10" x14ac:dyDescent="0.25">
      <c r="A602" t="s">
        <v>1931</v>
      </c>
      <c r="B602" t="s">
        <v>1932</v>
      </c>
      <c r="C602" t="s">
        <v>1927</v>
      </c>
      <c r="D602" t="str">
        <f>_xlfn.XLOOKUP(ISIC_Rev_5_english_structure__1[[#This Row],[Column4]],INDUSTRYGROUP!$C$2:$C$23,INDUSTRYGROUP!$D$2:$D$23,"NONE")</f>
        <v>NONE</v>
      </c>
      <c r="E602" t="str">
        <f>_xlfn.XLOOKUP(LEFT(A602,2),SECTOR!$A$2:$A$88,SECTOR!$A$2:$A$88,"")</f>
        <v/>
      </c>
      <c r="F602" t="str">
        <f>_xlfn.XLOOKUP(LEFT(A602,2),SECTOR!$A$2:$A$88,SECTOR!$B$2:$B$88,"")</f>
        <v/>
      </c>
      <c r="G602" t="str">
        <f>_xlfn.XLOOKUP(LEFT(A602,3),INDUSTRY!$A$2:$A$259,INDUSTRY!$A$2:$A$259,"")</f>
        <v>691</v>
      </c>
      <c r="H602" t="str">
        <f>_xlfn.XLOOKUP(LEFT(A602,3),INDUSTRY!$A$2:$A$259,INDUSTRY!$B$2:$B$259,"")</f>
        <v>Legal activities</v>
      </c>
      <c r="I602" t="str">
        <f t="shared" si="18"/>
        <v/>
      </c>
      <c r="J602" t="str">
        <f t="shared" si="19"/>
        <v/>
      </c>
    </row>
    <row r="603" spans="1:10" x14ac:dyDescent="0.25">
      <c r="A603" t="s">
        <v>1933</v>
      </c>
      <c r="B603" t="s">
        <v>1932</v>
      </c>
      <c r="C603" t="s">
        <v>1927</v>
      </c>
      <c r="D603" t="str">
        <f>_xlfn.XLOOKUP(ISIC_Rev_5_english_structure__1[[#This Row],[Column4]],INDUSTRYGROUP!$C$2:$C$23,INDUSTRYGROUP!$D$2:$D$23,"NONE")</f>
        <v>NONE</v>
      </c>
      <c r="E603" t="str">
        <f>_xlfn.XLOOKUP(LEFT(A603,2),SECTOR!$A$2:$A$88,SECTOR!$A$2:$A$88,"")</f>
        <v/>
      </c>
      <c r="F603" t="str">
        <f>_xlfn.XLOOKUP(LEFT(A603,2),SECTOR!$A$2:$A$88,SECTOR!$B$2:$B$88,"")</f>
        <v/>
      </c>
      <c r="G603" t="str">
        <f>_xlfn.XLOOKUP(LEFT(A603,3),INDUSTRY!$A$2:$A$259,INDUSTRY!$A$2:$A$259,"")</f>
        <v>691</v>
      </c>
      <c r="H603" t="str">
        <f>_xlfn.XLOOKUP(LEFT(A603,3),INDUSTRY!$A$2:$A$259,INDUSTRY!$B$2:$B$259,"")</f>
        <v>Legal activities</v>
      </c>
      <c r="I603" t="str">
        <f t="shared" si="18"/>
        <v>6910</v>
      </c>
      <c r="J603" t="str">
        <f t="shared" si="19"/>
        <v>Legal activities</v>
      </c>
    </row>
    <row r="604" spans="1:10" x14ac:dyDescent="0.25">
      <c r="A604" t="s">
        <v>1934</v>
      </c>
      <c r="B604" t="s">
        <v>1935</v>
      </c>
      <c r="C604" t="s">
        <v>1927</v>
      </c>
      <c r="D604" t="str">
        <f>_xlfn.XLOOKUP(ISIC_Rev_5_english_structure__1[[#This Row],[Column4]],INDUSTRYGROUP!$C$2:$C$23,INDUSTRYGROUP!$D$2:$D$23,"NONE")</f>
        <v>NONE</v>
      </c>
      <c r="E604" t="str">
        <f>_xlfn.XLOOKUP(LEFT(A604,2),SECTOR!$A$2:$A$88,SECTOR!$A$2:$A$88,"")</f>
        <v/>
      </c>
      <c r="F604" t="str">
        <f>_xlfn.XLOOKUP(LEFT(A604,2),SECTOR!$A$2:$A$88,SECTOR!$B$2:$B$88,"")</f>
        <v/>
      </c>
      <c r="G604" t="str">
        <f>_xlfn.XLOOKUP(LEFT(A604,3),INDUSTRY!$A$2:$A$259,INDUSTRY!$A$2:$A$259,"")</f>
        <v>692</v>
      </c>
      <c r="H604" t="str">
        <f>_xlfn.XLOOKUP(LEFT(A604,3),INDUSTRY!$A$2:$A$259,INDUSTRY!$B$2:$B$259,"")</f>
        <v>Accounting, bookkeeping and auditing activities; tax consultancy</v>
      </c>
      <c r="I604" t="str">
        <f t="shared" si="18"/>
        <v/>
      </c>
      <c r="J604" t="str">
        <f t="shared" si="19"/>
        <v/>
      </c>
    </row>
    <row r="605" spans="1:10" x14ac:dyDescent="0.25">
      <c r="A605" t="s">
        <v>1936</v>
      </c>
      <c r="B605" t="s">
        <v>1935</v>
      </c>
      <c r="C605" t="s">
        <v>1927</v>
      </c>
      <c r="D605" t="str">
        <f>_xlfn.XLOOKUP(ISIC_Rev_5_english_structure__1[[#This Row],[Column4]],INDUSTRYGROUP!$C$2:$C$23,INDUSTRYGROUP!$D$2:$D$23,"NONE")</f>
        <v>NONE</v>
      </c>
      <c r="E605" t="str">
        <f>_xlfn.XLOOKUP(LEFT(A605,2),SECTOR!$A$2:$A$88,SECTOR!$A$2:$A$88,"")</f>
        <v/>
      </c>
      <c r="F605" t="str">
        <f>_xlfn.XLOOKUP(LEFT(A605,2),SECTOR!$A$2:$A$88,SECTOR!$B$2:$B$88,"")</f>
        <v/>
      </c>
      <c r="G605" t="str">
        <f>_xlfn.XLOOKUP(LEFT(A605,3),INDUSTRY!$A$2:$A$259,INDUSTRY!$A$2:$A$259,"")</f>
        <v>692</v>
      </c>
      <c r="H605" t="str">
        <f>_xlfn.XLOOKUP(LEFT(A605,3),INDUSTRY!$A$2:$A$259,INDUSTRY!$B$2:$B$259,"")</f>
        <v>Accounting, bookkeeping and auditing activities; tax consultancy</v>
      </c>
      <c r="I605" t="str">
        <f t="shared" si="18"/>
        <v>6920</v>
      </c>
      <c r="J605" t="str">
        <f t="shared" si="19"/>
        <v>Accounting, bookkeeping and auditing activities; tax consultancy</v>
      </c>
    </row>
    <row r="606" spans="1:10" x14ac:dyDescent="0.25">
      <c r="A606" t="s">
        <v>1937</v>
      </c>
      <c r="B606" t="s">
        <v>1938</v>
      </c>
      <c r="C606" t="s">
        <v>1927</v>
      </c>
      <c r="D606" t="str">
        <f>_xlfn.XLOOKUP(ISIC_Rev_5_english_structure__1[[#This Row],[Column4]],INDUSTRYGROUP!$C$2:$C$23,INDUSTRYGROUP!$D$2:$D$23,"NONE")</f>
        <v>NONE</v>
      </c>
      <c r="E606" t="str">
        <f>_xlfn.XLOOKUP(LEFT(A606,2),SECTOR!$A$2:$A$88,SECTOR!$A$2:$A$88,"")</f>
        <v/>
      </c>
      <c r="F606" t="str">
        <f>_xlfn.XLOOKUP(LEFT(A606,2),SECTOR!$A$2:$A$88,SECTOR!$B$2:$B$88,"")</f>
        <v/>
      </c>
      <c r="G606" t="str">
        <f>_xlfn.XLOOKUP(LEFT(A606,3),INDUSTRY!$A$2:$A$259,INDUSTRY!$A$2:$A$259,"")</f>
        <v/>
      </c>
      <c r="H606" t="str">
        <f>_xlfn.XLOOKUP(LEFT(A606,3),INDUSTRY!$A$2:$A$259,INDUSTRY!$B$2:$B$259,"")</f>
        <v/>
      </c>
      <c r="I606" t="str">
        <f t="shared" si="18"/>
        <v/>
      </c>
      <c r="J606" t="str">
        <f t="shared" si="19"/>
        <v/>
      </c>
    </row>
    <row r="607" spans="1:10" x14ac:dyDescent="0.25">
      <c r="A607" t="s">
        <v>1939</v>
      </c>
      <c r="B607" t="s">
        <v>1940</v>
      </c>
      <c r="C607" t="s">
        <v>1927</v>
      </c>
      <c r="D607" t="str">
        <f>_xlfn.XLOOKUP(ISIC_Rev_5_english_structure__1[[#This Row],[Column4]],INDUSTRYGROUP!$C$2:$C$23,INDUSTRYGROUP!$D$2:$D$23,"NONE")</f>
        <v>NONE</v>
      </c>
      <c r="E607" t="str">
        <f>_xlfn.XLOOKUP(LEFT(A607,2),SECTOR!$A$2:$A$88,SECTOR!$A$2:$A$88,"")</f>
        <v/>
      </c>
      <c r="F607" t="str">
        <f>_xlfn.XLOOKUP(LEFT(A607,2),SECTOR!$A$2:$A$88,SECTOR!$B$2:$B$88,"")</f>
        <v/>
      </c>
      <c r="G607" t="str">
        <f>_xlfn.XLOOKUP(LEFT(A607,3),INDUSTRY!$A$2:$A$259,INDUSTRY!$A$2:$A$259,"")</f>
        <v>701</v>
      </c>
      <c r="H607" t="str">
        <f>_xlfn.XLOOKUP(LEFT(A607,3),INDUSTRY!$A$2:$A$259,INDUSTRY!$B$2:$B$259,"")</f>
        <v>Activities of head offices</v>
      </c>
      <c r="I607" t="str">
        <f t="shared" si="18"/>
        <v/>
      </c>
      <c r="J607" t="str">
        <f t="shared" si="19"/>
        <v/>
      </c>
    </row>
    <row r="608" spans="1:10" x14ac:dyDescent="0.25">
      <c r="A608" t="s">
        <v>1941</v>
      </c>
      <c r="B608" t="s">
        <v>1940</v>
      </c>
      <c r="C608" t="s">
        <v>1927</v>
      </c>
      <c r="D608" t="str">
        <f>_xlfn.XLOOKUP(ISIC_Rev_5_english_structure__1[[#This Row],[Column4]],INDUSTRYGROUP!$C$2:$C$23,INDUSTRYGROUP!$D$2:$D$23,"NONE")</f>
        <v>NONE</v>
      </c>
      <c r="E608" t="str">
        <f>_xlfn.XLOOKUP(LEFT(A608,2),SECTOR!$A$2:$A$88,SECTOR!$A$2:$A$88,"")</f>
        <v/>
      </c>
      <c r="F608" t="str">
        <f>_xlfn.XLOOKUP(LEFT(A608,2),SECTOR!$A$2:$A$88,SECTOR!$B$2:$B$88,"")</f>
        <v/>
      </c>
      <c r="G608" t="str">
        <f>_xlfn.XLOOKUP(LEFT(A608,3),INDUSTRY!$A$2:$A$259,INDUSTRY!$A$2:$A$259,"")</f>
        <v>701</v>
      </c>
      <c r="H608" t="str">
        <f>_xlfn.XLOOKUP(LEFT(A608,3),INDUSTRY!$A$2:$A$259,INDUSTRY!$B$2:$B$259,"")</f>
        <v>Activities of head offices</v>
      </c>
      <c r="I608" t="str">
        <f t="shared" si="18"/>
        <v>7010</v>
      </c>
      <c r="J608" t="str">
        <f t="shared" si="19"/>
        <v>Activities of head offices</v>
      </c>
    </row>
    <row r="609" spans="1:10" x14ac:dyDescent="0.25">
      <c r="A609" t="s">
        <v>1942</v>
      </c>
      <c r="B609" t="s">
        <v>1943</v>
      </c>
      <c r="C609" t="s">
        <v>1927</v>
      </c>
      <c r="D609" t="str">
        <f>_xlfn.XLOOKUP(ISIC_Rev_5_english_structure__1[[#This Row],[Column4]],INDUSTRYGROUP!$C$2:$C$23,INDUSTRYGROUP!$D$2:$D$23,"NONE")</f>
        <v>NONE</v>
      </c>
      <c r="E609" t="str">
        <f>_xlfn.XLOOKUP(LEFT(A609,2),SECTOR!$A$2:$A$88,SECTOR!$A$2:$A$88,"")</f>
        <v/>
      </c>
      <c r="F609" t="str">
        <f>_xlfn.XLOOKUP(LEFT(A609,2),SECTOR!$A$2:$A$88,SECTOR!$B$2:$B$88,"")</f>
        <v/>
      </c>
      <c r="G609" t="str">
        <f>_xlfn.XLOOKUP(LEFT(A609,3),INDUSTRY!$A$2:$A$259,INDUSTRY!$A$2:$A$259,"")</f>
        <v>702</v>
      </c>
      <c r="H609" t="str">
        <f>_xlfn.XLOOKUP(LEFT(A609,3),INDUSTRY!$A$2:$A$259,INDUSTRY!$B$2:$B$259,"")</f>
        <v>Business and other management consultancy activities</v>
      </c>
      <c r="I609" t="str">
        <f t="shared" si="18"/>
        <v/>
      </c>
      <c r="J609" t="str">
        <f t="shared" si="19"/>
        <v/>
      </c>
    </row>
    <row r="610" spans="1:10" x14ac:dyDescent="0.25">
      <c r="A610" t="s">
        <v>1944</v>
      </c>
      <c r="B610" t="s">
        <v>1943</v>
      </c>
      <c r="C610" t="s">
        <v>1927</v>
      </c>
      <c r="D610" t="str">
        <f>_xlfn.XLOOKUP(ISIC_Rev_5_english_structure__1[[#This Row],[Column4]],INDUSTRYGROUP!$C$2:$C$23,INDUSTRYGROUP!$D$2:$D$23,"NONE")</f>
        <v>NONE</v>
      </c>
      <c r="E610" t="str">
        <f>_xlfn.XLOOKUP(LEFT(A610,2),SECTOR!$A$2:$A$88,SECTOR!$A$2:$A$88,"")</f>
        <v/>
      </c>
      <c r="F610" t="str">
        <f>_xlfn.XLOOKUP(LEFT(A610,2),SECTOR!$A$2:$A$88,SECTOR!$B$2:$B$88,"")</f>
        <v/>
      </c>
      <c r="G610" t="str">
        <f>_xlfn.XLOOKUP(LEFT(A610,3),INDUSTRY!$A$2:$A$259,INDUSTRY!$A$2:$A$259,"")</f>
        <v>702</v>
      </c>
      <c r="H610" t="str">
        <f>_xlfn.XLOOKUP(LEFT(A610,3),INDUSTRY!$A$2:$A$259,INDUSTRY!$B$2:$B$259,"")</f>
        <v>Business and other management consultancy activities</v>
      </c>
      <c r="I610" t="str">
        <f t="shared" si="18"/>
        <v>7020</v>
      </c>
      <c r="J610" t="str">
        <f t="shared" si="19"/>
        <v>Business and other management consultancy activities</v>
      </c>
    </row>
    <row r="611" spans="1:10" x14ac:dyDescent="0.25">
      <c r="A611" t="s">
        <v>1945</v>
      </c>
      <c r="B611" t="s">
        <v>1946</v>
      </c>
      <c r="C611" t="s">
        <v>1927</v>
      </c>
      <c r="D611" t="str">
        <f>_xlfn.XLOOKUP(ISIC_Rev_5_english_structure__1[[#This Row],[Column4]],INDUSTRYGROUP!$C$2:$C$23,INDUSTRYGROUP!$D$2:$D$23,"NONE")</f>
        <v>NONE</v>
      </c>
      <c r="E611" t="str">
        <f>_xlfn.XLOOKUP(LEFT(A611,2),SECTOR!$A$2:$A$88,SECTOR!$A$2:$A$88,"")</f>
        <v/>
      </c>
      <c r="F611" t="str">
        <f>_xlfn.XLOOKUP(LEFT(A611,2),SECTOR!$A$2:$A$88,SECTOR!$B$2:$B$88,"")</f>
        <v/>
      </c>
      <c r="G611" t="str">
        <f>_xlfn.XLOOKUP(LEFT(A611,3),INDUSTRY!$A$2:$A$259,INDUSTRY!$A$2:$A$259,"")</f>
        <v/>
      </c>
      <c r="H611" t="str">
        <f>_xlfn.XLOOKUP(LEFT(A611,3),INDUSTRY!$A$2:$A$259,INDUSTRY!$B$2:$B$259,"")</f>
        <v/>
      </c>
      <c r="I611" t="str">
        <f t="shared" si="18"/>
        <v/>
      </c>
      <c r="J611" t="str">
        <f t="shared" si="19"/>
        <v/>
      </c>
    </row>
    <row r="612" spans="1:10" x14ac:dyDescent="0.25">
      <c r="A612" t="s">
        <v>1947</v>
      </c>
      <c r="B612" t="s">
        <v>1948</v>
      </c>
      <c r="C612" t="s">
        <v>1927</v>
      </c>
      <c r="D612" t="str">
        <f>_xlfn.XLOOKUP(ISIC_Rev_5_english_structure__1[[#This Row],[Column4]],INDUSTRYGROUP!$C$2:$C$23,INDUSTRYGROUP!$D$2:$D$23,"NONE")</f>
        <v>NONE</v>
      </c>
      <c r="E612" t="str">
        <f>_xlfn.XLOOKUP(LEFT(A612,2),SECTOR!$A$2:$A$88,SECTOR!$A$2:$A$88,"")</f>
        <v/>
      </c>
      <c r="F612" t="str">
        <f>_xlfn.XLOOKUP(LEFT(A612,2),SECTOR!$A$2:$A$88,SECTOR!$B$2:$B$88,"")</f>
        <v/>
      </c>
      <c r="G612" t="str">
        <f>_xlfn.XLOOKUP(LEFT(A612,3),INDUSTRY!$A$2:$A$259,INDUSTRY!$A$2:$A$259,"")</f>
        <v>711</v>
      </c>
      <c r="H612" t="str">
        <f>_xlfn.XLOOKUP(LEFT(A612,3),INDUSTRY!$A$2:$A$259,INDUSTRY!$B$2:$B$259,"")</f>
        <v>Architectural and engineering, and related technical consultancy activities</v>
      </c>
      <c r="I612" t="str">
        <f t="shared" si="18"/>
        <v/>
      </c>
      <c r="J612" t="str">
        <f t="shared" si="19"/>
        <v/>
      </c>
    </row>
    <row r="613" spans="1:10" x14ac:dyDescent="0.25">
      <c r="A613" t="s">
        <v>1949</v>
      </c>
      <c r="B613" t="s">
        <v>1948</v>
      </c>
      <c r="C613" t="s">
        <v>1927</v>
      </c>
      <c r="D613" t="str">
        <f>_xlfn.XLOOKUP(ISIC_Rev_5_english_structure__1[[#This Row],[Column4]],INDUSTRYGROUP!$C$2:$C$23,INDUSTRYGROUP!$D$2:$D$23,"NONE")</f>
        <v>NONE</v>
      </c>
      <c r="E613" t="str">
        <f>_xlfn.XLOOKUP(LEFT(A613,2),SECTOR!$A$2:$A$88,SECTOR!$A$2:$A$88,"")</f>
        <v/>
      </c>
      <c r="F613" t="str">
        <f>_xlfn.XLOOKUP(LEFT(A613,2),SECTOR!$A$2:$A$88,SECTOR!$B$2:$B$88,"")</f>
        <v/>
      </c>
      <c r="G613" t="str">
        <f>_xlfn.XLOOKUP(LEFT(A613,3),INDUSTRY!$A$2:$A$259,INDUSTRY!$A$2:$A$259,"")</f>
        <v>711</v>
      </c>
      <c r="H613" t="str">
        <f>_xlfn.XLOOKUP(LEFT(A613,3),INDUSTRY!$A$2:$A$259,INDUSTRY!$B$2:$B$259,"")</f>
        <v>Architectural and engineering, and related technical consultancy activities</v>
      </c>
      <c r="I613" t="str">
        <f t="shared" si="18"/>
        <v>7110</v>
      </c>
      <c r="J613" t="str">
        <f t="shared" si="19"/>
        <v>Architectural and engineering, and related technical consultancy activities</v>
      </c>
    </row>
    <row r="614" spans="1:10" x14ac:dyDescent="0.25">
      <c r="A614" t="s">
        <v>1950</v>
      </c>
      <c r="B614" t="s">
        <v>1951</v>
      </c>
      <c r="C614" t="s">
        <v>1927</v>
      </c>
      <c r="D614" t="str">
        <f>_xlfn.XLOOKUP(ISIC_Rev_5_english_structure__1[[#This Row],[Column4]],INDUSTRYGROUP!$C$2:$C$23,INDUSTRYGROUP!$D$2:$D$23,"NONE")</f>
        <v>NONE</v>
      </c>
      <c r="E614" t="str">
        <f>_xlfn.XLOOKUP(LEFT(A614,2),SECTOR!$A$2:$A$88,SECTOR!$A$2:$A$88,"")</f>
        <v/>
      </c>
      <c r="F614" t="str">
        <f>_xlfn.XLOOKUP(LEFT(A614,2),SECTOR!$A$2:$A$88,SECTOR!$B$2:$B$88,"")</f>
        <v/>
      </c>
      <c r="G614" t="str">
        <f>_xlfn.XLOOKUP(LEFT(A614,3),INDUSTRY!$A$2:$A$259,INDUSTRY!$A$2:$A$259,"")</f>
        <v>712</v>
      </c>
      <c r="H614" t="str">
        <f>_xlfn.XLOOKUP(LEFT(A614,3),INDUSTRY!$A$2:$A$259,INDUSTRY!$B$2:$B$259,"")</f>
        <v>Technical testing and analysis</v>
      </c>
      <c r="I614" t="str">
        <f t="shared" si="18"/>
        <v/>
      </c>
      <c r="J614" t="str">
        <f t="shared" si="19"/>
        <v/>
      </c>
    </row>
    <row r="615" spans="1:10" x14ac:dyDescent="0.25">
      <c r="A615" t="s">
        <v>1952</v>
      </c>
      <c r="B615" t="s">
        <v>1951</v>
      </c>
      <c r="C615" t="s">
        <v>1927</v>
      </c>
      <c r="D615" t="str">
        <f>_xlfn.XLOOKUP(ISIC_Rev_5_english_structure__1[[#This Row],[Column4]],INDUSTRYGROUP!$C$2:$C$23,INDUSTRYGROUP!$D$2:$D$23,"NONE")</f>
        <v>NONE</v>
      </c>
      <c r="E615" t="str">
        <f>_xlfn.XLOOKUP(LEFT(A615,2),SECTOR!$A$2:$A$88,SECTOR!$A$2:$A$88,"")</f>
        <v/>
      </c>
      <c r="F615" t="str">
        <f>_xlfn.XLOOKUP(LEFT(A615,2),SECTOR!$A$2:$A$88,SECTOR!$B$2:$B$88,"")</f>
        <v/>
      </c>
      <c r="G615" t="str">
        <f>_xlfn.XLOOKUP(LEFT(A615,3),INDUSTRY!$A$2:$A$259,INDUSTRY!$A$2:$A$259,"")</f>
        <v>712</v>
      </c>
      <c r="H615" t="str">
        <f>_xlfn.XLOOKUP(LEFT(A615,3),INDUSTRY!$A$2:$A$259,INDUSTRY!$B$2:$B$259,"")</f>
        <v>Technical testing and analysis</v>
      </c>
      <c r="I615" t="str">
        <f t="shared" si="18"/>
        <v>7120</v>
      </c>
      <c r="J615" t="str">
        <f t="shared" si="19"/>
        <v>Technical testing and analysis</v>
      </c>
    </row>
    <row r="616" spans="1:10" x14ac:dyDescent="0.25">
      <c r="A616" t="s">
        <v>1953</v>
      </c>
      <c r="B616" t="s">
        <v>1954</v>
      </c>
      <c r="C616" t="s">
        <v>1927</v>
      </c>
      <c r="D616" t="str">
        <f>_xlfn.XLOOKUP(ISIC_Rev_5_english_structure__1[[#This Row],[Column4]],INDUSTRYGROUP!$C$2:$C$23,INDUSTRYGROUP!$D$2:$D$23,"NONE")</f>
        <v>NONE</v>
      </c>
      <c r="E616" t="str">
        <f>_xlfn.XLOOKUP(LEFT(A616,2),SECTOR!$A$2:$A$88,SECTOR!$A$2:$A$88,"")</f>
        <v/>
      </c>
      <c r="F616" t="str">
        <f>_xlfn.XLOOKUP(LEFT(A616,2),SECTOR!$A$2:$A$88,SECTOR!$B$2:$B$88,"")</f>
        <v/>
      </c>
      <c r="G616" t="str">
        <f>_xlfn.XLOOKUP(LEFT(A616,3),INDUSTRY!$A$2:$A$259,INDUSTRY!$A$2:$A$259,"")</f>
        <v/>
      </c>
      <c r="H616" t="str">
        <f>_xlfn.XLOOKUP(LEFT(A616,3),INDUSTRY!$A$2:$A$259,INDUSTRY!$B$2:$B$259,"")</f>
        <v/>
      </c>
      <c r="I616" t="str">
        <f t="shared" si="18"/>
        <v/>
      </c>
      <c r="J616" t="str">
        <f t="shared" si="19"/>
        <v/>
      </c>
    </row>
    <row r="617" spans="1:10" x14ac:dyDescent="0.25">
      <c r="A617" t="s">
        <v>1955</v>
      </c>
      <c r="B617" t="s">
        <v>1956</v>
      </c>
      <c r="C617" t="s">
        <v>1927</v>
      </c>
      <c r="D617" t="str">
        <f>_xlfn.XLOOKUP(ISIC_Rev_5_english_structure__1[[#This Row],[Column4]],INDUSTRYGROUP!$C$2:$C$23,INDUSTRYGROUP!$D$2:$D$23,"NONE")</f>
        <v>NONE</v>
      </c>
      <c r="E617" t="str">
        <f>_xlfn.XLOOKUP(LEFT(A617,2),SECTOR!$A$2:$A$88,SECTOR!$A$2:$A$88,"")</f>
        <v/>
      </c>
      <c r="F617" t="str">
        <f>_xlfn.XLOOKUP(LEFT(A617,2),SECTOR!$A$2:$A$88,SECTOR!$B$2:$B$88,"")</f>
        <v/>
      </c>
      <c r="G617" t="str">
        <f>_xlfn.XLOOKUP(LEFT(A617,3),INDUSTRY!$A$2:$A$259,INDUSTRY!$A$2:$A$259,"")</f>
        <v>721</v>
      </c>
      <c r="H617" t="str">
        <f>_xlfn.XLOOKUP(LEFT(A617,3),INDUSTRY!$A$2:$A$259,INDUSTRY!$B$2:$B$259,"")</f>
        <v>Research and experimental development on natural sciences and engineering</v>
      </c>
      <c r="I617" t="str">
        <f t="shared" si="18"/>
        <v/>
      </c>
      <c r="J617" t="str">
        <f t="shared" si="19"/>
        <v/>
      </c>
    </row>
    <row r="618" spans="1:10" x14ac:dyDescent="0.25">
      <c r="A618" t="s">
        <v>1957</v>
      </c>
      <c r="B618" t="s">
        <v>1956</v>
      </c>
      <c r="C618" t="s">
        <v>1927</v>
      </c>
      <c r="D618" t="str">
        <f>_xlfn.XLOOKUP(ISIC_Rev_5_english_structure__1[[#This Row],[Column4]],INDUSTRYGROUP!$C$2:$C$23,INDUSTRYGROUP!$D$2:$D$23,"NONE")</f>
        <v>NONE</v>
      </c>
      <c r="E618" t="str">
        <f>_xlfn.XLOOKUP(LEFT(A618,2),SECTOR!$A$2:$A$88,SECTOR!$A$2:$A$88,"")</f>
        <v/>
      </c>
      <c r="F618" t="str">
        <f>_xlfn.XLOOKUP(LEFT(A618,2),SECTOR!$A$2:$A$88,SECTOR!$B$2:$B$88,"")</f>
        <v/>
      </c>
      <c r="G618" t="str">
        <f>_xlfn.XLOOKUP(LEFT(A618,3),INDUSTRY!$A$2:$A$259,INDUSTRY!$A$2:$A$259,"")</f>
        <v>721</v>
      </c>
      <c r="H618" t="str">
        <f>_xlfn.XLOOKUP(LEFT(A618,3),INDUSTRY!$A$2:$A$259,INDUSTRY!$B$2:$B$259,"")</f>
        <v>Research and experimental development on natural sciences and engineering</v>
      </c>
      <c r="I618" t="str">
        <f t="shared" si="18"/>
        <v>7210</v>
      </c>
      <c r="J618" t="str">
        <f t="shared" si="19"/>
        <v>Research and experimental development on natural sciences and engineering</v>
      </c>
    </row>
    <row r="619" spans="1:10" x14ac:dyDescent="0.25">
      <c r="A619" t="s">
        <v>1958</v>
      </c>
      <c r="B619" t="s">
        <v>1959</v>
      </c>
      <c r="C619" t="s">
        <v>1927</v>
      </c>
      <c r="D619" t="str">
        <f>_xlfn.XLOOKUP(ISIC_Rev_5_english_structure__1[[#This Row],[Column4]],INDUSTRYGROUP!$C$2:$C$23,INDUSTRYGROUP!$D$2:$D$23,"NONE")</f>
        <v>NONE</v>
      </c>
      <c r="E619" t="str">
        <f>_xlfn.XLOOKUP(LEFT(A619,2),SECTOR!$A$2:$A$88,SECTOR!$A$2:$A$88,"")</f>
        <v/>
      </c>
      <c r="F619" t="str">
        <f>_xlfn.XLOOKUP(LEFT(A619,2),SECTOR!$A$2:$A$88,SECTOR!$B$2:$B$88,"")</f>
        <v/>
      </c>
      <c r="G619" t="str">
        <f>_xlfn.XLOOKUP(LEFT(A619,3),INDUSTRY!$A$2:$A$259,INDUSTRY!$A$2:$A$259,"")</f>
        <v>722</v>
      </c>
      <c r="H619" t="str">
        <f>_xlfn.XLOOKUP(LEFT(A619,3),INDUSTRY!$A$2:$A$259,INDUSTRY!$B$2:$B$259,"")</f>
        <v>Research and experimental development on social sciences and humanities</v>
      </c>
      <c r="I619" t="str">
        <f t="shared" si="18"/>
        <v/>
      </c>
      <c r="J619" t="str">
        <f t="shared" si="19"/>
        <v/>
      </c>
    </row>
    <row r="620" spans="1:10" x14ac:dyDescent="0.25">
      <c r="A620" t="s">
        <v>1960</v>
      </c>
      <c r="B620" t="s">
        <v>1959</v>
      </c>
      <c r="C620" t="s">
        <v>1927</v>
      </c>
      <c r="D620" t="str">
        <f>_xlfn.XLOOKUP(ISIC_Rev_5_english_structure__1[[#This Row],[Column4]],INDUSTRYGROUP!$C$2:$C$23,INDUSTRYGROUP!$D$2:$D$23,"NONE")</f>
        <v>NONE</v>
      </c>
      <c r="E620" t="str">
        <f>_xlfn.XLOOKUP(LEFT(A620,2),SECTOR!$A$2:$A$88,SECTOR!$A$2:$A$88,"")</f>
        <v/>
      </c>
      <c r="F620" t="str">
        <f>_xlfn.XLOOKUP(LEFT(A620,2),SECTOR!$A$2:$A$88,SECTOR!$B$2:$B$88,"")</f>
        <v/>
      </c>
      <c r="G620" t="str">
        <f>_xlfn.XLOOKUP(LEFT(A620,3),INDUSTRY!$A$2:$A$259,INDUSTRY!$A$2:$A$259,"")</f>
        <v>722</v>
      </c>
      <c r="H620" t="str">
        <f>_xlfn.XLOOKUP(LEFT(A620,3),INDUSTRY!$A$2:$A$259,INDUSTRY!$B$2:$B$259,"")</f>
        <v>Research and experimental development on social sciences and humanities</v>
      </c>
      <c r="I620" t="str">
        <f t="shared" si="18"/>
        <v>7220</v>
      </c>
      <c r="J620" t="str">
        <f t="shared" si="19"/>
        <v>Research and experimental development on social sciences and humanities</v>
      </c>
    </row>
    <row r="621" spans="1:10" x14ac:dyDescent="0.25">
      <c r="A621" t="s">
        <v>1961</v>
      </c>
      <c r="B621" t="s">
        <v>1962</v>
      </c>
      <c r="C621" t="s">
        <v>1927</v>
      </c>
      <c r="D621" t="str">
        <f>_xlfn.XLOOKUP(ISIC_Rev_5_english_structure__1[[#This Row],[Column4]],INDUSTRYGROUP!$C$2:$C$23,INDUSTRYGROUP!$D$2:$D$23,"NONE")</f>
        <v>NONE</v>
      </c>
      <c r="E621" t="str">
        <f>_xlfn.XLOOKUP(LEFT(A621,2),SECTOR!$A$2:$A$88,SECTOR!$A$2:$A$88,"")</f>
        <v/>
      </c>
      <c r="F621" t="str">
        <f>_xlfn.XLOOKUP(LEFT(A621,2),SECTOR!$A$2:$A$88,SECTOR!$B$2:$B$88,"")</f>
        <v/>
      </c>
      <c r="G621" t="str">
        <f>_xlfn.XLOOKUP(LEFT(A621,3),INDUSTRY!$A$2:$A$259,INDUSTRY!$A$2:$A$259,"")</f>
        <v/>
      </c>
      <c r="H621" t="str">
        <f>_xlfn.XLOOKUP(LEFT(A621,3),INDUSTRY!$A$2:$A$259,INDUSTRY!$B$2:$B$259,"")</f>
        <v/>
      </c>
      <c r="I621" t="str">
        <f t="shared" si="18"/>
        <v/>
      </c>
      <c r="J621" t="str">
        <f t="shared" si="19"/>
        <v/>
      </c>
    </row>
    <row r="622" spans="1:10" x14ac:dyDescent="0.25">
      <c r="A622" t="s">
        <v>1963</v>
      </c>
      <c r="B622" t="s">
        <v>1964</v>
      </c>
      <c r="C622" t="s">
        <v>1927</v>
      </c>
      <c r="D622" t="str">
        <f>_xlfn.XLOOKUP(ISIC_Rev_5_english_structure__1[[#This Row],[Column4]],INDUSTRYGROUP!$C$2:$C$23,INDUSTRYGROUP!$D$2:$D$23,"NONE")</f>
        <v>NONE</v>
      </c>
      <c r="E622" t="str">
        <f>_xlfn.XLOOKUP(LEFT(A622,2),SECTOR!$A$2:$A$88,SECTOR!$A$2:$A$88,"")</f>
        <v/>
      </c>
      <c r="F622" t="str">
        <f>_xlfn.XLOOKUP(LEFT(A622,2),SECTOR!$A$2:$A$88,SECTOR!$B$2:$B$88,"")</f>
        <v/>
      </c>
      <c r="G622" t="str">
        <f>_xlfn.XLOOKUP(LEFT(A622,3),INDUSTRY!$A$2:$A$259,INDUSTRY!$A$2:$A$259,"")</f>
        <v>731</v>
      </c>
      <c r="H622" t="str">
        <f>_xlfn.XLOOKUP(LEFT(A622,3),INDUSTRY!$A$2:$A$259,INDUSTRY!$B$2:$B$259,"")</f>
        <v xml:space="preserve">Advertising activities </v>
      </c>
      <c r="I622" t="str">
        <f t="shared" si="18"/>
        <v/>
      </c>
      <c r="J622" t="str">
        <f t="shared" si="19"/>
        <v/>
      </c>
    </row>
    <row r="623" spans="1:10" x14ac:dyDescent="0.25">
      <c r="A623" t="s">
        <v>1965</v>
      </c>
      <c r="B623" t="s">
        <v>1964</v>
      </c>
      <c r="C623" t="s">
        <v>1927</v>
      </c>
      <c r="D623" t="str">
        <f>_xlfn.XLOOKUP(ISIC_Rev_5_english_structure__1[[#This Row],[Column4]],INDUSTRYGROUP!$C$2:$C$23,INDUSTRYGROUP!$D$2:$D$23,"NONE")</f>
        <v>NONE</v>
      </c>
      <c r="E623" t="str">
        <f>_xlfn.XLOOKUP(LEFT(A623,2),SECTOR!$A$2:$A$88,SECTOR!$A$2:$A$88,"")</f>
        <v/>
      </c>
      <c r="F623" t="str">
        <f>_xlfn.XLOOKUP(LEFT(A623,2),SECTOR!$A$2:$A$88,SECTOR!$B$2:$B$88,"")</f>
        <v/>
      </c>
      <c r="G623" t="str">
        <f>_xlfn.XLOOKUP(LEFT(A623,3),INDUSTRY!$A$2:$A$259,INDUSTRY!$A$2:$A$259,"")</f>
        <v>731</v>
      </c>
      <c r="H623" t="str">
        <f>_xlfn.XLOOKUP(LEFT(A623,3),INDUSTRY!$A$2:$A$259,INDUSTRY!$B$2:$B$259,"")</f>
        <v xml:space="preserve">Advertising activities </v>
      </c>
      <c r="I623" t="str">
        <f t="shared" si="18"/>
        <v>7310</v>
      </c>
      <c r="J623" t="str">
        <f t="shared" si="19"/>
        <v xml:space="preserve">Advertising activities </v>
      </c>
    </row>
    <row r="624" spans="1:10" x14ac:dyDescent="0.25">
      <c r="A624" t="s">
        <v>1966</v>
      </c>
      <c r="B624" t="s">
        <v>1967</v>
      </c>
      <c r="C624" t="s">
        <v>1927</v>
      </c>
      <c r="D624" t="str">
        <f>_xlfn.XLOOKUP(ISIC_Rev_5_english_structure__1[[#This Row],[Column4]],INDUSTRYGROUP!$C$2:$C$23,INDUSTRYGROUP!$D$2:$D$23,"NONE")</f>
        <v>NONE</v>
      </c>
      <c r="E624" t="str">
        <f>_xlfn.XLOOKUP(LEFT(A624,2),SECTOR!$A$2:$A$88,SECTOR!$A$2:$A$88,"")</f>
        <v/>
      </c>
      <c r="F624" t="str">
        <f>_xlfn.XLOOKUP(LEFT(A624,2),SECTOR!$A$2:$A$88,SECTOR!$B$2:$B$88,"")</f>
        <v/>
      </c>
      <c r="G624" t="str">
        <f>_xlfn.XLOOKUP(LEFT(A624,3),INDUSTRY!$A$2:$A$259,INDUSTRY!$A$2:$A$259,"")</f>
        <v>732</v>
      </c>
      <c r="H624" t="str">
        <f>_xlfn.XLOOKUP(LEFT(A624,3),INDUSTRY!$A$2:$A$259,INDUSTRY!$B$2:$B$259,"")</f>
        <v xml:space="preserve">Market research and public opinion polling activities </v>
      </c>
      <c r="I624" t="str">
        <f t="shared" si="18"/>
        <v/>
      </c>
      <c r="J624" t="str">
        <f t="shared" si="19"/>
        <v/>
      </c>
    </row>
    <row r="625" spans="1:10" x14ac:dyDescent="0.25">
      <c r="A625" t="s">
        <v>1968</v>
      </c>
      <c r="B625" t="s">
        <v>1967</v>
      </c>
      <c r="C625" t="s">
        <v>1927</v>
      </c>
      <c r="D625" t="str">
        <f>_xlfn.XLOOKUP(ISIC_Rev_5_english_structure__1[[#This Row],[Column4]],INDUSTRYGROUP!$C$2:$C$23,INDUSTRYGROUP!$D$2:$D$23,"NONE")</f>
        <v>NONE</v>
      </c>
      <c r="E625" t="str">
        <f>_xlfn.XLOOKUP(LEFT(A625,2),SECTOR!$A$2:$A$88,SECTOR!$A$2:$A$88,"")</f>
        <v/>
      </c>
      <c r="F625" t="str">
        <f>_xlfn.XLOOKUP(LEFT(A625,2),SECTOR!$A$2:$A$88,SECTOR!$B$2:$B$88,"")</f>
        <v/>
      </c>
      <c r="G625" t="str">
        <f>_xlfn.XLOOKUP(LEFT(A625,3),INDUSTRY!$A$2:$A$259,INDUSTRY!$A$2:$A$259,"")</f>
        <v>732</v>
      </c>
      <c r="H625" t="str">
        <f>_xlfn.XLOOKUP(LEFT(A625,3),INDUSTRY!$A$2:$A$259,INDUSTRY!$B$2:$B$259,"")</f>
        <v xml:space="preserve">Market research and public opinion polling activities </v>
      </c>
      <c r="I625" t="str">
        <f t="shared" si="18"/>
        <v>7320</v>
      </c>
      <c r="J625" t="str">
        <f t="shared" si="19"/>
        <v xml:space="preserve">Market research and public opinion polling activities </v>
      </c>
    </row>
    <row r="626" spans="1:10" x14ac:dyDescent="0.25">
      <c r="A626" t="s">
        <v>1969</v>
      </c>
      <c r="B626" t="s">
        <v>1970</v>
      </c>
      <c r="C626" t="s">
        <v>1927</v>
      </c>
      <c r="D626" t="str">
        <f>_xlfn.XLOOKUP(ISIC_Rev_5_english_structure__1[[#This Row],[Column4]],INDUSTRYGROUP!$C$2:$C$23,INDUSTRYGROUP!$D$2:$D$23,"NONE")</f>
        <v>NONE</v>
      </c>
      <c r="E626" t="str">
        <f>_xlfn.XLOOKUP(LEFT(A626,2),SECTOR!$A$2:$A$88,SECTOR!$A$2:$A$88,"")</f>
        <v/>
      </c>
      <c r="F626" t="str">
        <f>_xlfn.XLOOKUP(LEFT(A626,2),SECTOR!$A$2:$A$88,SECTOR!$B$2:$B$88,"")</f>
        <v/>
      </c>
      <c r="G626" t="str">
        <f>_xlfn.XLOOKUP(LEFT(A626,3),INDUSTRY!$A$2:$A$259,INDUSTRY!$A$2:$A$259,"")</f>
        <v>733</v>
      </c>
      <c r="H626" t="str">
        <f>_xlfn.XLOOKUP(LEFT(A626,3),INDUSTRY!$A$2:$A$259,INDUSTRY!$B$2:$B$259,"")</f>
        <v>Public relations activities</v>
      </c>
      <c r="I626" t="str">
        <f t="shared" si="18"/>
        <v/>
      </c>
      <c r="J626" t="str">
        <f t="shared" si="19"/>
        <v/>
      </c>
    </row>
    <row r="627" spans="1:10" x14ac:dyDescent="0.25">
      <c r="A627" t="s">
        <v>1971</v>
      </c>
      <c r="B627" t="s">
        <v>1970</v>
      </c>
      <c r="C627" t="s">
        <v>1927</v>
      </c>
      <c r="D627" t="str">
        <f>_xlfn.XLOOKUP(ISIC_Rev_5_english_structure__1[[#This Row],[Column4]],INDUSTRYGROUP!$C$2:$C$23,INDUSTRYGROUP!$D$2:$D$23,"NONE")</f>
        <v>NONE</v>
      </c>
      <c r="E627" t="str">
        <f>_xlfn.XLOOKUP(LEFT(A627,2),SECTOR!$A$2:$A$88,SECTOR!$A$2:$A$88,"")</f>
        <v/>
      </c>
      <c r="F627" t="str">
        <f>_xlfn.XLOOKUP(LEFT(A627,2),SECTOR!$A$2:$A$88,SECTOR!$B$2:$B$88,"")</f>
        <v/>
      </c>
      <c r="G627" t="str">
        <f>_xlfn.XLOOKUP(LEFT(A627,3),INDUSTRY!$A$2:$A$259,INDUSTRY!$A$2:$A$259,"")</f>
        <v>733</v>
      </c>
      <c r="H627" t="str">
        <f>_xlfn.XLOOKUP(LEFT(A627,3),INDUSTRY!$A$2:$A$259,INDUSTRY!$B$2:$B$259,"")</f>
        <v>Public relations activities</v>
      </c>
      <c r="I627" t="str">
        <f t="shared" si="18"/>
        <v>7330</v>
      </c>
      <c r="J627" t="str">
        <f t="shared" si="19"/>
        <v>Public relations activities</v>
      </c>
    </row>
    <row r="628" spans="1:10" x14ac:dyDescent="0.25">
      <c r="A628" t="s">
        <v>1972</v>
      </c>
      <c r="B628" t="s">
        <v>1973</v>
      </c>
      <c r="C628" t="s">
        <v>1927</v>
      </c>
      <c r="D628" t="str">
        <f>_xlfn.XLOOKUP(ISIC_Rev_5_english_structure__1[[#This Row],[Column4]],INDUSTRYGROUP!$C$2:$C$23,INDUSTRYGROUP!$D$2:$D$23,"NONE")</f>
        <v>NONE</v>
      </c>
      <c r="E628" t="str">
        <f>_xlfn.XLOOKUP(LEFT(A628,2),SECTOR!$A$2:$A$88,SECTOR!$A$2:$A$88,"")</f>
        <v/>
      </c>
      <c r="F628" t="str">
        <f>_xlfn.XLOOKUP(LEFT(A628,2),SECTOR!$A$2:$A$88,SECTOR!$B$2:$B$88,"")</f>
        <v/>
      </c>
      <c r="G628" t="str">
        <f>_xlfn.XLOOKUP(LEFT(A628,3),INDUSTRY!$A$2:$A$259,INDUSTRY!$A$2:$A$259,"")</f>
        <v/>
      </c>
      <c r="H628" t="str">
        <f>_xlfn.XLOOKUP(LEFT(A628,3),INDUSTRY!$A$2:$A$259,INDUSTRY!$B$2:$B$259,"")</f>
        <v/>
      </c>
      <c r="I628" t="str">
        <f t="shared" si="18"/>
        <v/>
      </c>
      <c r="J628" t="str">
        <f t="shared" si="19"/>
        <v/>
      </c>
    </row>
    <row r="629" spans="1:10" x14ac:dyDescent="0.25">
      <c r="A629" t="s">
        <v>1974</v>
      </c>
      <c r="B629" t="s">
        <v>1975</v>
      </c>
      <c r="C629" t="s">
        <v>1927</v>
      </c>
      <c r="D629" t="str">
        <f>_xlfn.XLOOKUP(ISIC_Rev_5_english_structure__1[[#This Row],[Column4]],INDUSTRYGROUP!$C$2:$C$23,INDUSTRYGROUP!$D$2:$D$23,"NONE")</f>
        <v>NONE</v>
      </c>
      <c r="E629" t="str">
        <f>_xlfn.XLOOKUP(LEFT(A629,2),SECTOR!$A$2:$A$88,SECTOR!$A$2:$A$88,"")</f>
        <v/>
      </c>
      <c r="F629" t="str">
        <f>_xlfn.XLOOKUP(LEFT(A629,2),SECTOR!$A$2:$A$88,SECTOR!$B$2:$B$88,"")</f>
        <v/>
      </c>
      <c r="G629" t="str">
        <f>_xlfn.XLOOKUP(LEFT(A629,3),INDUSTRY!$A$2:$A$259,INDUSTRY!$A$2:$A$259,"")</f>
        <v>741</v>
      </c>
      <c r="H629" t="str">
        <f>_xlfn.XLOOKUP(LEFT(A629,3),INDUSTRY!$A$2:$A$259,INDUSTRY!$B$2:$B$259,"")</f>
        <v xml:space="preserve">Specialized design activities </v>
      </c>
      <c r="I629" t="str">
        <f t="shared" si="18"/>
        <v/>
      </c>
      <c r="J629" t="str">
        <f t="shared" si="19"/>
        <v/>
      </c>
    </row>
    <row r="630" spans="1:10" x14ac:dyDescent="0.25">
      <c r="A630" t="s">
        <v>1976</v>
      </c>
      <c r="B630" t="s">
        <v>1975</v>
      </c>
      <c r="C630" t="s">
        <v>1927</v>
      </c>
      <c r="D630" t="str">
        <f>_xlfn.XLOOKUP(ISIC_Rev_5_english_structure__1[[#This Row],[Column4]],INDUSTRYGROUP!$C$2:$C$23,INDUSTRYGROUP!$D$2:$D$23,"NONE")</f>
        <v>NONE</v>
      </c>
      <c r="E630" t="str">
        <f>_xlfn.XLOOKUP(LEFT(A630,2),SECTOR!$A$2:$A$88,SECTOR!$A$2:$A$88,"")</f>
        <v/>
      </c>
      <c r="F630" t="str">
        <f>_xlfn.XLOOKUP(LEFT(A630,2),SECTOR!$A$2:$A$88,SECTOR!$B$2:$B$88,"")</f>
        <v/>
      </c>
      <c r="G630" t="str">
        <f>_xlfn.XLOOKUP(LEFT(A630,3),INDUSTRY!$A$2:$A$259,INDUSTRY!$A$2:$A$259,"")</f>
        <v>741</v>
      </c>
      <c r="H630" t="str">
        <f>_xlfn.XLOOKUP(LEFT(A630,3),INDUSTRY!$A$2:$A$259,INDUSTRY!$B$2:$B$259,"")</f>
        <v xml:space="preserve">Specialized design activities </v>
      </c>
      <c r="I630" t="str">
        <f t="shared" si="18"/>
        <v>7410</v>
      </c>
      <c r="J630" t="str">
        <f t="shared" si="19"/>
        <v xml:space="preserve">Specialized design activities </v>
      </c>
    </row>
    <row r="631" spans="1:10" x14ac:dyDescent="0.25">
      <c r="A631" t="s">
        <v>1977</v>
      </c>
      <c r="B631" t="s">
        <v>1978</v>
      </c>
      <c r="C631" t="s">
        <v>1927</v>
      </c>
      <c r="D631" t="str">
        <f>_xlfn.XLOOKUP(ISIC_Rev_5_english_structure__1[[#This Row],[Column4]],INDUSTRYGROUP!$C$2:$C$23,INDUSTRYGROUP!$D$2:$D$23,"NONE")</f>
        <v>NONE</v>
      </c>
      <c r="E631" t="str">
        <f>_xlfn.XLOOKUP(LEFT(A631,2),SECTOR!$A$2:$A$88,SECTOR!$A$2:$A$88,"")</f>
        <v/>
      </c>
      <c r="F631" t="str">
        <f>_xlfn.XLOOKUP(LEFT(A631,2),SECTOR!$A$2:$A$88,SECTOR!$B$2:$B$88,"")</f>
        <v/>
      </c>
      <c r="G631" t="str">
        <f>_xlfn.XLOOKUP(LEFT(A631,3),INDUSTRY!$A$2:$A$259,INDUSTRY!$A$2:$A$259,"")</f>
        <v>742</v>
      </c>
      <c r="H631" t="str">
        <f>_xlfn.XLOOKUP(LEFT(A631,3),INDUSTRY!$A$2:$A$259,INDUSTRY!$B$2:$B$259,"")</f>
        <v xml:space="preserve">Photographic activities </v>
      </c>
      <c r="I631" t="str">
        <f t="shared" si="18"/>
        <v/>
      </c>
      <c r="J631" t="str">
        <f t="shared" si="19"/>
        <v/>
      </c>
    </row>
    <row r="632" spans="1:10" x14ac:dyDescent="0.25">
      <c r="A632" t="s">
        <v>1979</v>
      </c>
      <c r="B632" t="s">
        <v>1978</v>
      </c>
      <c r="C632" t="s">
        <v>1927</v>
      </c>
      <c r="D632" t="str">
        <f>_xlfn.XLOOKUP(ISIC_Rev_5_english_structure__1[[#This Row],[Column4]],INDUSTRYGROUP!$C$2:$C$23,INDUSTRYGROUP!$D$2:$D$23,"NONE")</f>
        <v>NONE</v>
      </c>
      <c r="E632" t="str">
        <f>_xlfn.XLOOKUP(LEFT(A632,2),SECTOR!$A$2:$A$88,SECTOR!$A$2:$A$88,"")</f>
        <v/>
      </c>
      <c r="F632" t="str">
        <f>_xlfn.XLOOKUP(LEFT(A632,2),SECTOR!$A$2:$A$88,SECTOR!$B$2:$B$88,"")</f>
        <v/>
      </c>
      <c r="G632" t="str">
        <f>_xlfn.XLOOKUP(LEFT(A632,3),INDUSTRY!$A$2:$A$259,INDUSTRY!$A$2:$A$259,"")</f>
        <v>742</v>
      </c>
      <c r="H632" t="str">
        <f>_xlfn.XLOOKUP(LEFT(A632,3),INDUSTRY!$A$2:$A$259,INDUSTRY!$B$2:$B$259,"")</f>
        <v xml:space="preserve">Photographic activities </v>
      </c>
      <c r="I632" t="str">
        <f t="shared" si="18"/>
        <v>7420</v>
      </c>
      <c r="J632" t="str">
        <f t="shared" si="19"/>
        <v xml:space="preserve">Photographic activities </v>
      </c>
    </row>
    <row r="633" spans="1:10" x14ac:dyDescent="0.25">
      <c r="A633" t="s">
        <v>1980</v>
      </c>
      <c r="B633" t="s">
        <v>1981</v>
      </c>
      <c r="C633" t="s">
        <v>1927</v>
      </c>
      <c r="D633" t="str">
        <f>_xlfn.XLOOKUP(ISIC_Rev_5_english_structure__1[[#This Row],[Column4]],INDUSTRYGROUP!$C$2:$C$23,INDUSTRYGROUP!$D$2:$D$23,"NONE")</f>
        <v>NONE</v>
      </c>
      <c r="E633" t="str">
        <f>_xlfn.XLOOKUP(LEFT(A633,2),SECTOR!$A$2:$A$88,SECTOR!$A$2:$A$88,"")</f>
        <v/>
      </c>
      <c r="F633" t="str">
        <f>_xlfn.XLOOKUP(LEFT(A633,2),SECTOR!$A$2:$A$88,SECTOR!$B$2:$B$88,"")</f>
        <v/>
      </c>
      <c r="G633" t="str">
        <f>_xlfn.XLOOKUP(LEFT(A633,3),INDUSTRY!$A$2:$A$259,INDUSTRY!$A$2:$A$259,"")</f>
        <v>743</v>
      </c>
      <c r="H633" t="str">
        <f>_xlfn.XLOOKUP(LEFT(A633,3),INDUSTRY!$A$2:$A$259,INDUSTRY!$B$2:$B$259,"")</f>
        <v xml:space="preserve">Translation and interpretation activities </v>
      </c>
      <c r="I633" t="str">
        <f t="shared" si="18"/>
        <v/>
      </c>
      <c r="J633" t="str">
        <f t="shared" si="19"/>
        <v/>
      </c>
    </row>
    <row r="634" spans="1:10" x14ac:dyDescent="0.25">
      <c r="A634" t="s">
        <v>1982</v>
      </c>
      <c r="B634" t="s">
        <v>1981</v>
      </c>
      <c r="C634" t="s">
        <v>1927</v>
      </c>
      <c r="D634" t="str">
        <f>_xlfn.XLOOKUP(ISIC_Rev_5_english_structure__1[[#This Row],[Column4]],INDUSTRYGROUP!$C$2:$C$23,INDUSTRYGROUP!$D$2:$D$23,"NONE")</f>
        <v>NONE</v>
      </c>
      <c r="E634" t="str">
        <f>_xlfn.XLOOKUP(LEFT(A634,2),SECTOR!$A$2:$A$88,SECTOR!$A$2:$A$88,"")</f>
        <v/>
      </c>
      <c r="F634" t="str">
        <f>_xlfn.XLOOKUP(LEFT(A634,2),SECTOR!$A$2:$A$88,SECTOR!$B$2:$B$88,"")</f>
        <v/>
      </c>
      <c r="G634" t="str">
        <f>_xlfn.XLOOKUP(LEFT(A634,3),INDUSTRY!$A$2:$A$259,INDUSTRY!$A$2:$A$259,"")</f>
        <v>743</v>
      </c>
      <c r="H634" t="str">
        <f>_xlfn.XLOOKUP(LEFT(A634,3),INDUSTRY!$A$2:$A$259,INDUSTRY!$B$2:$B$259,"")</f>
        <v xml:space="preserve">Translation and interpretation activities </v>
      </c>
      <c r="I634" t="str">
        <f t="shared" si="18"/>
        <v>7430</v>
      </c>
      <c r="J634" t="str">
        <f t="shared" si="19"/>
        <v xml:space="preserve">Translation and interpretation activities </v>
      </c>
    </row>
    <row r="635" spans="1:10" x14ac:dyDescent="0.25">
      <c r="A635" t="s">
        <v>1983</v>
      </c>
      <c r="B635" t="s">
        <v>1984</v>
      </c>
      <c r="C635" t="s">
        <v>1927</v>
      </c>
      <c r="D635" t="str">
        <f>_xlfn.XLOOKUP(ISIC_Rev_5_english_structure__1[[#This Row],[Column4]],INDUSTRYGROUP!$C$2:$C$23,INDUSTRYGROUP!$D$2:$D$23,"NONE")</f>
        <v>NONE</v>
      </c>
      <c r="E635" t="str">
        <f>_xlfn.XLOOKUP(LEFT(A635,2),SECTOR!$A$2:$A$88,SECTOR!$A$2:$A$88,"")</f>
        <v/>
      </c>
      <c r="F635" t="str">
        <f>_xlfn.XLOOKUP(LEFT(A635,2),SECTOR!$A$2:$A$88,SECTOR!$B$2:$B$88,"")</f>
        <v/>
      </c>
      <c r="G635" t="str">
        <f>_xlfn.XLOOKUP(LEFT(A635,3),INDUSTRY!$A$2:$A$259,INDUSTRY!$A$2:$A$259,"")</f>
        <v>749</v>
      </c>
      <c r="H635" t="str">
        <f>_xlfn.XLOOKUP(LEFT(A635,3),INDUSTRY!$A$2:$A$259,INDUSTRY!$B$2:$B$259,"")</f>
        <v>Other professional, scientific and technical activities n.e.c.</v>
      </c>
      <c r="I635" t="str">
        <f t="shared" si="18"/>
        <v/>
      </c>
      <c r="J635" t="str">
        <f t="shared" si="19"/>
        <v/>
      </c>
    </row>
    <row r="636" spans="1:10" x14ac:dyDescent="0.25">
      <c r="A636" t="s">
        <v>1985</v>
      </c>
      <c r="B636" t="s">
        <v>1986</v>
      </c>
      <c r="C636" t="s">
        <v>1927</v>
      </c>
      <c r="D636" t="str">
        <f>_xlfn.XLOOKUP(ISIC_Rev_5_english_structure__1[[#This Row],[Column4]],INDUSTRYGROUP!$C$2:$C$23,INDUSTRYGROUP!$D$2:$D$23,"NONE")</f>
        <v>NONE</v>
      </c>
      <c r="E636" t="str">
        <f>_xlfn.XLOOKUP(LEFT(A636,2),SECTOR!$A$2:$A$88,SECTOR!$A$2:$A$88,"")</f>
        <v/>
      </c>
      <c r="F636" t="str">
        <f>_xlfn.XLOOKUP(LEFT(A636,2),SECTOR!$A$2:$A$88,SECTOR!$B$2:$B$88,"")</f>
        <v/>
      </c>
      <c r="G636" t="str">
        <f>_xlfn.XLOOKUP(LEFT(A636,3),INDUSTRY!$A$2:$A$259,INDUSTRY!$A$2:$A$259,"")</f>
        <v>749</v>
      </c>
      <c r="H636" t="str">
        <f>_xlfn.XLOOKUP(LEFT(A636,3),INDUSTRY!$A$2:$A$259,INDUSTRY!$B$2:$B$259,"")</f>
        <v>Other professional, scientific and technical activities n.e.c.</v>
      </c>
      <c r="I636" t="str">
        <f t="shared" si="18"/>
        <v>7491</v>
      </c>
      <c r="J636" t="str">
        <f t="shared" si="19"/>
        <v>Patent brokering and marketing service activities</v>
      </c>
    </row>
    <row r="637" spans="1:10" x14ac:dyDescent="0.25">
      <c r="A637" t="s">
        <v>1987</v>
      </c>
      <c r="B637" t="s">
        <v>1988</v>
      </c>
      <c r="C637" t="s">
        <v>1927</v>
      </c>
      <c r="D637" t="str">
        <f>_xlfn.XLOOKUP(ISIC_Rev_5_english_structure__1[[#This Row],[Column4]],INDUSTRYGROUP!$C$2:$C$23,INDUSTRYGROUP!$D$2:$D$23,"NONE")</f>
        <v>NONE</v>
      </c>
      <c r="E637" t="str">
        <f>_xlfn.XLOOKUP(LEFT(A637,2),SECTOR!$A$2:$A$88,SECTOR!$A$2:$A$88,"")</f>
        <v/>
      </c>
      <c r="F637" t="str">
        <f>_xlfn.XLOOKUP(LEFT(A637,2),SECTOR!$A$2:$A$88,SECTOR!$B$2:$B$88,"")</f>
        <v/>
      </c>
      <c r="G637" t="str">
        <f>_xlfn.XLOOKUP(LEFT(A637,3),INDUSTRY!$A$2:$A$259,INDUSTRY!$A$2:$A$259,"")</f>
        <v>749</v>
      </c>
      <c r="H637" t="str">
        <f>_xlfn.XLOOKUP(LEFT(A637,3),INDUSTRY!$A$2:$A$259,INDUSTRY!$B$2:$B$259,"")</f>
        <v>Other professional, scientific and technical activities n.e.c.</v>
      </c>
      <c r="I637" t="str">
        <f t="shared" si="18"/>
        <v>7499</v>
      </c>
      <c r="J637" t="str">
        <f t="shared" si="19"/>
        <v xml:space="preserve">All other professional, scientific and technical activities n.e.c. </v>
      </c>
    </row>
    <row r="638" spans="1:10" x14ac:dyDescent="0.25">
      <c r="A638" t="s">
        <v>1989</v>
      </c>
      <c r="B638" t="s">
        <v>1990</v>
      </c>
      <c r="C638" t="s">
        <v>1927</v>
      </c>
      <c r="D638" t="str">
        <f>_xlfn.XLOOKUP(ISIC_Rev_5_english_structure__1[[#This Row],[Column4]],INDUSTRYGROUP!$C$2:$C$23,INDUSTRYGROUP!$D$2:$D$23,"NONE")</f>
        <v>NONE</v>
      </c>
      <c r="E638" t="str">
        <f>_xlfn.XLOOKUP(LEFT(A638,2),SECTOR!$A$2:$A$88,SECTOR!$A$2:$A$88,"")</f>
        <v/>
      </c>
      <c r="F638" t="str">
        <f>_xlfn.XLOOKUP(LEFT(A638,2),SECTOR!$A$2:$A$88,SECTOR!$B$2:$B$88,"")</f>
        <v/>
      </c>
      <c r="G638" t="str">
        <f>_xlfn.XLOOKUP(LEFT(A638,3),INDUSTRY!$A$2:$A$259,INDUSTRY!$A$2:$A$259,"")</f>
        <v/>
      </c>
      <c r="H638" t="str">
        <f>_xlfn.XLOOKUP(LEFT(A638,3),INDUSTRY!$A$2:$A$259,INDUSTRY!$B$2:$B$259,"")</f>
        <v/>
      </c>
      <c r="I638" t="str">
        <f t="shared" si="18"/>
        <v/>
      </c>
      <c r="J638" t="str">
        <f t="shared" si="19"/>
        <v/>
      </c>
    </row>
    <row r="639" spans="1:10" x14ac:dyDescent="0.25">
      <c r="A639" t="s">
        <v>1991</v>
      </c>
      <c r="B639" t="s">
        <v>1990</v>
      </c>
      <c r="C639" t="s">
        <v>1927</v>
      </c>
      <c r="D639" t="str">
        <f>_xlfn.XLOOKUP(ISIC_Rev_5_english_structure__1[[#This Row],[Column4]],INDUSTRYGROUP!$C$2:$C$23,INDUSTRYGROUP!$D$2:$D$23,"NONE")</f>
        <v>NONE</v>
      </c>
      <c r="E639" t="str">
        <f>_xlfn.XLOOKUP(LEFT(A639,2),SECTOR!$A$2:$A$88,SECTOR!$A$2:$A$88,"")</f>
        <v/>
      </c>
      <c r="F639" t="str">
        <f>_xlfn.XLOOKUP(LEFT(A639,2),SECTOR!$A$2:$A$88,SECTOR!$B$2:$B$88,"")</f>
        <v/>
      </c>
      <c r="G639" t="str">
        <f>_xlfn.XLOOKUP(LEFT(A639,3),INDUSTRY!$A$2:$A$259,INDUSTRY!$A$2:$A$259,"")</f>
        <v>750</v>
      </c>
      <c r="H639" t="str">
        <f>_xlfn.XLOOKUP(LEFT(A639,3),INDUSTRY!$A$2:$A$259,INDUSTRY!$B$2:$B$259,"")</f>
        <v xml:space="preserve">Veterinary activities </v>
      </c>
      <c r="I639" t="str">
        <f t="shared" si="18"/>
        <v/>
      </c>
      <c r="J639" t="str">
        <f t="shared" si="19"/>
        <v/>
      </c>
    </row>
    <row r="640" spans="1:10" x14ac:dyDescent="0.25">
      <c r="A640" t="s">
        <v>1992</v>
      </c>
      <c r="B640" t="s">
        <v>1990</v>
      </c>
      <c r="C640" t="s">
        <v>1927</v>
      </c>
      <c r="D640" t="str">
        <f>_xlfn.XLOOKUP(ISIC_Rev_5_english_structure__1[[#This Row],[Column4]],INDUSTRYGROUP!$C$2:$C$23,INDUSTRYGROUP!$D$2:$D$23,"NONE")</f>
        <v>NONE</v>
      </c>
      <c r="E640" t="str">
        <f>_xlfn.XLOOKUP(LEFT(A640,2),SECTOR!$A$2:$A$88,SECTOR!$A$2:$A$88,"")</f>
        <v/>
      </c>
      <c r="F640" t="str">
        <f>_xlfn.XLOOKUP(LEFT(A640,2),SECTOR!$A$2:$A$88,SECTOR!$B$2:$B$88,"")</f>
        <v/>
      </c>
      <c r="G640" t="str">
        <f>_xlfn.XLOOKUP(LEFT(A640,3),INDUSTRY!$A$2:$A$259,INDUSTRY!$A$2:$A$259,"")</f>
        <v>750</v>
      </c>
      <c r="H640" t="str">
        <f>_xlfn.XLOOKUP(LEFT(A640,3),INDUSTRY!$A$2:$A$259,INDUSTRY!$B$2:$B$259,"")</f>
        <v xml:space="preserve">Veterinary activities </v>
      </c>
      <c r="I640" t="str">
        <f t="shared" si="18"/>
        <v>7500</v>
      </c>
      <c r="J640" t="str">
        <f t="shared" si="19"/>
        <v xml:space="preserve">Veterinary activities </v>
      </c>
    </row>
    <row r="641" spans="1:10" x14ac:dyDescent="0.25">
      <c r="A641" t="s">
        <v>1993</v>
      </c>
      <c r="B641" t="s">
        <v>1994</v>
      </c>
      <c r="C641" t="s">
        <v>1993</v>
      </c>
      <c r="D641" t="str">
        <f>_xlfn.XLOOKUP(ISIC_Rev_5_english_structure__1[[#This Row],[Column4]],INDUSTRYGROUP!$C$2:$C$23,INDUSTRYGROUP!$D$2:$D$23,"NONE")</f>
        <v>NONE</v>
      </c>
      <c r="E641" t="str">
        <f>_xlfn.XLOOKUP(LEFT(A641,2),SECTOR!$A$2:$A$88,SECTOR!$A$2:$A$88,"")</f>
        <v>O</v>
      </c>
      <c r="F641" t="str">
        <f>_xlfn.XLOOKUP(LEFT(A641,2),SECTOR!$A$2:$A$88,SECTOR!$B$2:$B$88,"")</f>
        <v>Administrative and support service activities</v>
      </c>
      <c r="G641" t="str">
        <f>_xlfn.XLOOKUP(LEFT(A641,3),INDUSTRY!$A$2:$A$259,INDUSTRY!$A$2:$A$259,"")</f>
        <v/>
      </c>
      <c r="H641" t="str">
        <f>_xlfn.XLOOKUP(LEFT(A641,3),INDUSTRY!$A$2:$A$259,INDUSTRY!$B$2:$B$259,"")</f>
        <v/>
      </c>
      <c r="I641" t="str">
        <f t="shared" si="18"/>
        <v/>
      </c>
      <c r="J641" t="str">
        <f t="shared" si="19"/>
        <v/>
      </c>
    </row>
    <row r="642" spans="1:10" x14ac:dyDescent="0.25">
      <c r="A642" t="s">
        <v>1995</v>
      </c>
      <c r="B642" t="s">
        <v>1996</v>
      </c>
      <c r="C642" t="s">
        <v>1993</v>
      </c>
      <c r="D642" t="str">
        <f>_xlfn.XLOOKUP(ISIC_Rev_5_english_structure__1[[#This Row],[Column4]],INDUSTRYGROUP!$C$2:$C$23,INDUSTRYGROUP!$D$2:$D$23,"NONE")</f>
        <v>NONE</v>
      </c>
      <c r="E642" t="str">
        <f>_xlfn.XLOOKUP(LEFT(A642,2),SECTOR!$A$2:$A$88,SECTOR!$A$2:$A$88,"")</f>
        <v/>
      </c>
      <c r="F642" t="str">
        <f>_xlfn.XLOOKUP(LEFT(A642,2),SECTOR!$A$2:$A$88,SECTOR!$B$2:$B$88,"")</f>
        <v/>
      </c>
      <c r="G642" t="str">
        <f>_xlfn.XLOOKUP(LEFT(A642,3),INDUSTRY!$A$2:$A$259,INDUSTRY!$A$2:$A$259,"")</f>
        <v/>
      </c>
      <c r="H642" t="str">
        <f>_xlfn.XLOOKUP(LEFT(A642,3),INDUSTRY!$A$2:$A$259,INDUSTRY!$B$2:$B$259,"")</f>
        <v/>
      </c>
      <c r="I642" t="str">
        <f t="shared" ref="I642:I705" si="20">IF(LEN(A642)=4,A642,"")</f>
        <v/>
      </c>
      <c r="J642" t="str">
        <f t="shared" ref="J642:J705" si="21">IF(LEN(A642)=4,B642,"")</f>
        <v/>
      </c>
    </row>
    <row r="643" spans="1:10" x14ac:dyDescent="0.25">
      <c r="A643" t="s">
        <v>1997</v>
      </c>
      <c r="B643" t="s">
        <v>1998</v>
      </c>
      <c r="C643" t="s">
        <v>1993</v>
      </c>
      <c r="D643" t="str">
        <f>_xlfn.XLOOKUP(ISIC_Rev_5_english_structure__1[[#This Row],[Column4]],INDUSTRYGROUP!$C$2:$C$23,INDUSTRYGROUP!$D$2:$D$23,"NONE")</f>
        <v>NONE</v>
      </c>
      <c r="E643" t="str">
        <f>_xlfn.XLOOKUP(LEFT(A643,2),SECTOR!$A$2:$A$88,SECTOR!$A$2:$A$88,"")</f>
        <v/>
      </c>
      <c r="F643" t="str">
        <f>_xlfn.XLOOKUP(LEFT(A643,2),SECTOR!$A$2:$A$88,SECTOR!$B$2:$B$88,"")</f>
        <v/>
      </c>
      <c r="G643" t="str">
        <f>_xlfn.XLOOKUP(LEFT(A643,3),INDUSTRY!$A$2:$A$259,INDUSTRY!$A$2:$A$259,"")</f>
        <v>771</v>
      </c>
      <c r="H643" t="str">
        <f>_xlfn.XLOOKUP(LEFT(A643,3),INDUSTRY!$A$2:$A$259,INDUSTRY!$B$2:$B$259,"")</f>
        <v>Rental and leasing of motor vehicles</v>
      </c>
      <c r="I643" t="str">
        <f t="shared" si="20"/>
        <v/>
      </c>
      <c r="J643" t="str">
        <f t="shared" si="21"/>
        <v/>
      </c>
    </row>
    <row r="644" spans="1:10" x14ac:dyDescent="0.25">
      <c r="A644" t="s">
        <v>1999</v>
      </c>
      <c r="B644" t="s">
        <v>1998</v>
      </c>
      <c r="C644" t="s">
        <v>1993</v>
      </c>
      <c r="D644" t="str">
        <f>_xlfn.XLOOKUP(ISIC_Rev_5_english_structure__1[[#This Row],[Column4]],INDUSTRYGROUP!$C$2:$C$23,INDUSTRYGROUP!$D$2:$D$23,"NONE")</f>
        <v>NONE</v>
      </c>
      <c r="E644" t="str">
        <f>_xlfn.XLOOKUP(LEFT(A644,2),SECTOR!$A$2:$A$88,SECTOR!$A$2:$A$88,"")</f>
        <v/>
      </c>
      <c r="F644" t="str">
        <f>_xlfn.XLOOKUP(LEFT(A644,2),SECTOR!$A$2:$A$88,SECTOR!$B$2:$B$88,"")</f>
        <v/>
      </c>
      <c r="G644" t="str">
        <f>_xlfn.XLOOKUP(LEFT(A644,3),INDUSTRY!$A$2:$A$259,INDUSTRY!$A$2:$A$259,"")</f>
        <v>771</v>
      </c>
      <c r="H644" t="str">
        <f>_xlfn.XLOOKUP(LEFT(A644,3),INDUSTRY!$A$2:$A$259,INDUSTRY!$B$2:$B$259,"")</f>
        <v>Rental and leasing of motor vehicles</v>
      </c>
      <c r="I644" t="str">
        <f t="shared" si="20"/>
        <v>7710</v>
      </c>
      <c r="J644" t="str">
        <f t="shared" si="21"/>
        <v>Rental and leasing of motor vehicles</v>
      </c>
    </row>
    <row r="645" spans="1:10" x14ac:dyDescent="0.25">
      <c r="A645" t="s">
        <v>2000</v>
      </c>
      <c r="B645" t="s">
        <v>2001</v>
      </c>
      <c r="C645" t="s">
        <v>1993</v>
      </c>
      <c r="D645" t="str">
        <f>_xlfn.XLOOKUP(ISIC_Rev_5_english_structure__1[[#This Row],[Column4]],INDUSTRYGROUP!$C$2:$C$23,INDUSTRYGROUP!$D$2:$D$23,"NONE")</f>
        <v>NONE</v>
      </c>
      <c r="E645" t="str">
        <f>_xlfn.XLOOKUP(LEFT(A645,2),SECTOR!$A$2:$A$88,SECTOR!$A$2:$A$88,"")</f>
        <v/>
      </c>
      <c r="F645" t="str">
        <f>_xlfn.XLOOKUP(LEFT(A645,2),SECTOR!$A$2:$A$88,SECTOR!$B$2:$B$88,"")</f>
        <v/>
      </c>
      <c r="G645" t="str">
        <f>_xlfn.XLOOKUP(LEFT(A645,3),INDUSTRY!$A$2:$A$259,INDUSTRY!$A$2:$A$259,"")</f>
        <v>772</v>
      </c>
      <c r="H645" t="str">
        <f>_xlfn.XLOOKUP(LEFT(A645,3),INDUSTRY!$A$2:$A$259,INDUSTRY!$B$2:$B$259,"")</f>
        <v>Rental and leasing of personal and household goods</v>
      </c>
      <c r="I645" t="str">
        <f t="shared" si="20"/>
        <v/>
      </c>
      <c r="J645" t="str">
        <f t="shared" si="21"/>
        <v/>
      </c>
    </row>
    <row r="646" spans="1:10" x14ac:dyDescent="0.25">
      <c r="A646" t="s">
        <v>2002</v>
      </c>
      <c r="B646" t="s">
        <v>2003</v>
      </c>
      <c r="C646" t="s">
        <v>1993</v>
      </c>
      <c r="D646" t="str">
        <f>_xlfn.XLOOKUP(ISIC_Rev_5_english_structure__1[[#This Row],[Column4]],INDUSTRYGROUP!$C$2:$C$23,INDUSTRYGROUP!$D$2:$D$23,"NONE")</f>
        <v>NONE</v>
      </c>
      <c r="E646" t="str">
        <f>_xlfn.XLOOKUP(LEFT(A646,2),SECTOR!$A$2:$A$88,SECTOR!$A$2:$A$88,"")</f>
        <v/>
      </c>
      <c r="F646" t="str">
        <f>_xlfn.XLOOKUP(LEFT(A646,2),SECTOR!$A$2:$A$88,SECTOR!$B$2:$B$88,"")</f>
        <v/>
      </c>
      <c r="G646" t="str">
        <f>_xlfn.XLOOKUP(LEFT(A646,3),INDUSTRY!$A$2:$A$259,INDUSTRY!$A$2:$A$259,"")</f>
        <v>772</v>
      </c>
      <c r="H646" t="str">
        <f>_xlfn.XLOOKUP(LEFT(A646,3),INDUSTRY!$A$2:$A$259,INDUSTRY!$B$2:$B$259,"")</f>
        <v>Rental and leasing of personal and household goods</v>
      </c>
      <c r="I646" t="str">
        <f t="shared" si="20"/>
        <v>7721</v>
      </c>
      <c r="J646" t="str">
        <f t="shared" si="21"/>
        <v>Rental and leasing of recreational and sports goods</v>
      </c>
    </row>
    <row r="647" spans="1:10" x14ac:dyDescent="0.25">
      <c r="A647" t="s">
        <v>2004</v>
      </c>
      <c r="B647" t="s">
        <v>2005</v>
      </c>
      <c r="C647" t="s">
        <v>1993</v>
      </c>
      <c r="D647" t="str">
        <f>_xlfn.XLOOKUP(ISIC_Rev_5_english_structure__1[[#This Row],[Column4]],INDUSTRYGROUP!$C$2:$C$23,INDUSTRYGROUP!$D$2:$D$23,"NONE")</f>
        <v>NONE</v>
      </c>
      <c r="E647" t="str">
        <f>_xlfn.XLOOKUP(LEFT(A647,2),SECTOR!$A$2:$A$88,SECTOR!$A$2:$A$88,"")</f>
        <v/>
      </c>
      <c r="F647" t="str">
        <f>_xlfn.XLOOKUP(LEFT(A647,2),SECTOR!$A$2:$A$88,SECTOR!$B$2:$B$88,"")</f>
        <v/>
      </c>
      <c r="G647" t="str">
        <f>_xlfn.XLOOKUP(LEFT(A647,3),INDUSTRY!$A$2:$A$259,INDUSTRY!$A$2:$A$259,"")</f>
        <v>772</v>
      </c>
      <c r="H647" t="str">
        <f>_xlfn.XLOOKUP(LEFT(A647,3),INDUSTRY!$A$2:$A$259,INDUSTRY!$B$2:$B$259,"")</f>
        <v>Rental and leasing of personal and household goods</v>
      </c>
      <c r="I647" t="str">
        <f t="shared" si="20"/>
        <v>7729</v>
      </c>
      <c r="J647" t="str">
        <f t="shared" si="21"/>
        <v>Rental and leasing of other personal and household goods</v>
      </c>
    </row>
    <row r="648" spans="1:10" x14ac:dyDescent="0.25">
      <c r="A648" t="s">
        <v>2006</v>
      </c>
      <c r="B648" t="s">
        <v>2007</v>
      </c>
      <c r="C648" t="s">
        <v>1993</v>
      </c>
      <c r="D648" t="str">
        <f>_xlfn.XLOOKUP(ISIC_Rev_5_english_structure__1[[#This Row],[Column4]],INDUSTRYGROUP!$C$2:$C$23,INDUSTRYGROUP!$D$2:$D$23,"NONE")</f>
        <v>NONE</v>
      </c>
      <c r="E648" t="str">
        <f>_xlfn.XLOOKUP(LEFT(A648,2),SECTOR!$A$2:$A$88,SECTOR!$A$2:$A$88,"")</f>
        <v/>
      </c>
      <c r="F648" t="str">
        <f>_xlfn.XLOOKUP(LEFT(A648,2),SECTOR!$A$2:$A$88,SECTOR!$B$2:$B$88,"")</f>
        <v/>
      </c>
      <c r="G648" t="str">
        <f>_xlfn.XLOOKUP(LEFT(A648,3),INDUSTRY!$A$2:$A$259,INDUSTRY!$A$2:$A$259,"")</f>
        <v>773</v>
      </c>
      <c r="H648" t="str">
        <f>_xlfn.XLOOKUP(LEFT(A648,3),INDUSTRY!$A$2:$A$259,INDUSTRY!$B$2:$B$259,"")</f>
        <v>Rental and leasing of other machinery, equipment and tangible goods</v>
      </c>
      <c r="I648" t="str">
        <f t="shared" si="20"/>
        <v/>
      </c>
      <c r="J648" t="str">
        <f t="shared" si="21"/>
        <v/>
      </c>
    </row>
    <row r="649" spans="1:10" x14ac:dyDescent="0.25">
      <c r="A649" t="s">
        <v>2008</v>
      </c>
      <c r="B649" t="s">
        <v>2007</v>
      </c>
      <c r="C649" t="s">
        <v>1993</v>
      </c>
      <c r="D649" t="str">
        <f>_xlfn.XLOOKUP(ISIC_Rev_5_english_structure__1[[#This Row],[Column4]],INDUSTRYGROUP!$C$2:$C$23,INDUSTRYGROUP!$D$2:$D$23,"NONE")</f>
        <v>NONE</v>
      </c>
      <c r="E649" t="str">
        <f>_xlfn.XLOOKUP(LEFT(A649,2),SECTOR!$A$2:$A$88,SECTOR!$A$2:$A$88,"")</f>
        <v/>
      </c>
      <c r="F649" t="str">
        <f>_xlfn.XLOOKUP(LEFT(A649,2),SECTOR!$A$2:$A$88,SECTOR!$B$2:$B$88,"")</f>
        <v/>
      </c>
      <c r="G649" t="str">
        <f>_xlfn.XLOOKUP(LEFT(A649,3),INDUSTRY!$A$2:$A$259,INDUSTRY!$A$2:$A$259,"")</f>
        <v>773</v>
      </c>
      <c r="H649" t="str">
        <f>_xlfn.XLOOKUP(LEFT(A649,3),INDUSTRY!$A$2:$A$259,INDUSTRY!$B$2:$B$259,"")</f>
        <v>Rental and leasing of other machinery, equipment and tangible goods</v>
      </c>
      <c r="I649" t="str">
        <f t="shared" si="20"/>
        <v>7730</v>
      </c>
      <c r="J649" t="str">
        <f t="shared" si="21"/>
        <v>Rental and leasing of other machinery, equipment and tangible goods</v>
      </c>
    </row>
    <row r="650" spans="1:10" x14ac:dyDescent="0.25">
      <c r="A650" t="s">
        <v>2009</v>
      </c>
      <c r="B650" t="s">
        <v>2010</v>
      </c>
      <c r="C650" t="s">
        <v>1993</v>
      </c>
      <c r="D650" t="str">
        <f>_xlfn.XLOOKUP(ISIC_Rev_5_english_structure__1[[#This Row],[Column4]],INDUSTRYGROUP!$C$2:$C$23,INDUSTRYGROUP!$D$2:$D$23,"NONE")</f>
        <v>NONE</v>
      </c>
      <c r="E650" t="str">
        <f>_xlfn.XLOOKUP(LEFT(A650,2),SECTOR!$A$2:$A$88,SECTOR!$A$2:$A$88,"")</f>
        <v/>
      </c>
      <c r="F650" t="str">
        <f>_xlfn.XLOOKUP(LEFT(A650,2),SECTOR!$A$2:$A$88,SECTOR!$B$2:$B$88,"")</f>
        <v/>
      </c>
      <c r="G650" t="str">
        <f>_xlfn.XLOOKUP(LEFT(A650,3),INDUSTRY!$A$2:$A$259,INDUSTRY!$A$2:$A$259,"")</f>
        <v>774</v>
      </c>
      <c r="H650" t="str">
        <f>_xlfn.XLOOKUP(LEFT(A650,3),INDUSTRY!$A$2:$A$259,INDUSTRY!$B$2:$B$259,"")</f>
        <v>Leasing of intellectual property and similar products, except copyrighted works</v>
      </c>
      <c r="I650" t="str">
        <f t="shared" si="20"/>
        <v/>
      </c>
      <c r="J650" t="str">
        <f t="shared" si="21"/>
        <v/>
      </c>
    </row>
    <row r="651" spans="1:10" x14ac:dyDescent="0.25">
      <c r="A651" t="s">
        <v>2011</v>
      </c>
      <c r="B651" t="s">
        <v>2010</v>
      </c>
      <c r="C651" t="s">
        <v>1993</v>
      </c>
      <c r="D651" t="str">
        <f>_xlfn.XLOOKUP(ISIC_Rev_5_english_structure__1[[#This Row],[Column4]],INDUSTRYGROUP!$C$2:$C$23,INDUSTRYGROUP!$D$2:$D$23,"NONE")</f>
        <v>NONE</v>
      </c>
      <c r="E651" t="str">
        <f>_xlfn.XLOOKUP(LEFT(A651,2),SECTOR!$A$2:$A$88,SECTOR!$A$2:$A$88,"")</f>
        <v/>
      </c>
      <c r="F651" t="str">
        <f>_xlfn.XLOOKUP(LEFT(A651,2),SECTOR!$A$2:$A$88,SECTOR!$B$2:$B$88,"")</f>
        <v/>
      </c>
      <c r="G651" t="str">
        <f>_xlfn.XLOOKUP(LEFT(A651,3),INDUSTRY!$A$2:$A$259,INDUSTRY!$A$2:$A$259,"")</f>
        <v>774</v>
      </c>
      <c r="H651" t="str">
        <f>_xlfn.XLOOKUP(LEFT(A651,3),INDUSTRY!$A$2:$A$259,INDUSTRY!$B$2:$B$259,"")</f>
        <v>Leasing of intellectual property and similar products, except copyrighted works</v>
      </c>
      <c r="I651" t="str">
        <f t="shared" si="20"/>
        <v>7740</v>
      </c>
      <c r="J651" t="str">
        <f t="shared" si="21"/>
        <v>Leasing of intellectual property and similar products, except copyrighted works</v>
      </c>
    </row>
    <row r="652" spans="1:10" x14ac:dyDescent="0.25">
      <c r="A652" t="s">
        <v>2012</v>
      </c>
      <c r="B652" t="s">
        <v>2013</v>
      </c>
      <c r="C652" t="s">
        <v>1993</v>
      </c>
      <c r="D652" t="str">
        <f>_xlfn.XLOOKUP(ISIC_Rev_5_english_structure__1[[#This Row],[Column4]],INDUSTRYGROUP!$C$2:$C$23,INDUSTRYGROUP!$D$2:$D$23,"NONE")</f>
        <v>NONE</v>
      </c>
      <c r="E652" t="str">
        <f>_xlfn.XLOOKUP(LEFT(A652,2),SECTOR!$A$2:$A$88,SECTOR!$A$2:$A$88,"")</f>
        <v/>
      </c>
      <c r="F652" t="str">
        <f>_xlfn.XLOOKUP(LEFT(A652,2),SECTOR!$A$2:$A$88,SECTOR!$B$2:$B$88,"")</f>
        <v/>
      </c>
      <c r="G652" t="str">
        <f>_xlfn.XLOOKUP(LEFT(A652,3),INDUSTRY!$A$2:$A$259,INDUSTRY!$A$2:$A$259,"")</f>
        <v>775</v>
      </c>
      <c r="H652" t="str">
        <f>_xlfn.XLOOKUP(LEFT(A652,3),INDUSTRY!$A$2:$A$259,INDUSTRY!$B$2:$B$259,"")</f>
        <v>Intermediation service activities for rental and leasing of tangible goods and non-financial intangible assets</v>
      </c>
      <c r="I652" t="str">
        <f t="shared" si="20"/>
        <v/>
      </c>
      <c r="J652" t="str">
        <f t="shared" si="21"/>
        <v/>
      </c>
    </row>
    <row r="653" spans="1:10" x14ac:dyDescent="0.25">
      <c r="A653" t="s">
        <v>2014</v>
      </c>
      <c r="B653" t="s">
        <v>2015</v>
      </c>
      <c r="C653" t="s">
        <v>1993</v>
      </c>
      <c r="D653" t="str">
        <f>_xlfn.XLOOKUP(ISIC_Rev_5_english_structure__1[[#This Row],[Column4]],INDUSTRYGROUP!$C$2:$C$23,INDUSTRYGROUP!$D$2:$D$23,"NONE")</f>
        <v>NONE</v>
      </c>
      <c r="E653" t="str">
        <f>_xlfn.XLOOKUP(LEFT(A653,2),SECTOR!$A$2:$A$88,SECTOR!$A$2:$A$88,"")</f>
        <v/>
      </c>
      <c r="F653" t="str">
        <f>_xlfn.XLOOKUP(LEFT(A653,2),SECTOR!$A$2:$A$88,SECTOR!$B$2:$B$88,"")</f>
        <v/>
      </c>
      <c r="G653" t="str">
        <f>_xlfn.XLOOKUP(LEFT(A653,3),INDUSTRY!$A$2:$A$259,INDUSTRY!$A$2:$A$259,"")</f>
        <v>775</v>
      </c>
      <c r="H653" t="str">
        <f>_xlfn.XLOOKUP(LEFT(A653,3),INDUSTRY!$A$2:$A$259,INDUSTRY!$B$2:$B$259,"")</f>
        <v>Intermediation service activities for rental and leasing of tangible goods and non-financial intangible assets</v>
      </c>
      <c r="I653" t="str">
        <f t="shared" si="20"/>
        <v>7751</v>
      </c>
      <c r="J653" t="str">
        <f t="shared" si="21"/>
        <v>Intermediation service activities for rental and leasing of cars, motorhomes and trailers</v>
      </c>
    </row>
    <row r="654" spans="1:10" x14ac:dyDescent="0.25">
      <c r="A654" t="s">
        <v>2016</v>
      </c>
      <c r="B654" t="s">
        <v>2017</v>
      </c>
      <c r="C654" t="s">
        <v>1993</v>
      </c>
      <c r="D654" t="str">
        <f>_xlfn.XLOOKUP(ISIC_Rev_5_english_structure__1[[#This Row],[Column4]],INDUSTRYGROUP!$C$2:$C$23,INDUSTRYGROUP!$D$2:$D$23,"NONE")</f>
        <v>NONE</v>
      </c>
      <c r="E654" t="str">
        <f>_xlfn.XLOOKUP(LEFT(A654,2),SECTOR!$A$2:$A$88,SECTOR!$A$2:$A$88,"")</f>
        <v/>
      </c>
      <c r="F654" t="str">
        <f>_xlfn.XLOOKUP(LEFT(A654,2),SECTOR!$A$2:$A$88,SECTOR!$B$2:$B$88,"")</f>
        <v/>
      </c>
      <c r="G654" t="str">
        <f>_xlfn.XLOOKUP(LEFT(A654,3),INDUSTRY!$A$2:$A$259,INDUSTRY!$A$2:$A$259,"")</f>
        <v>775</v>
      </c>
      <c r="H654" t="str">
        <f>_xlfn.XLOOKUP(LEFT(A654,3),INDUSTRY!$A$2:$A$259,INDUSTRY!$B$2:$B$259,"")</f>
        <v>Intermediation service activities for rental and leasing of tangible goods and non-financial intangible assets</v>
      </c>
      <c r="I654" t="str">
        <f t="shared" si="20"/>
        <v>7752</v>
      </c>
      <c r="J654" t="str">
        <f t="shared" si="21"/>
        <v>Intermediation service activities for rental and leasing of other tangible goods and non-financial intangible assets</v>
      </c>
    </row>
    <row r="655" spans="1:10" x14ac:dyDescent="0.25">
      <c r="A655" t="s">
        <v>2018</v>
      </c>
      <c r="B655" t="s">
        <v>2019</v>
      </c>
      <c r="C655" t="s">
        <v>1993</v>
      </c>
      <c r="D655" t="str">
        <f>_xlfn.XLOOKUP(ISIC_Rev_5_english_structure__1[[#This Row],[Column4]],INDUSTRYGROUP!$C$2:$C$23,INDUSTRYGROUP!$D$2:$D$23,"NONE")</f>
        <v>NONE</v>
      </c>
      <c r="E655" t="str">
        <f>_xlfn.XLOOKUP(LEFT(A655,2),SECTOR!$A$2:$A$88,SECTOR!$A$2:$A$88,"")</f>
        <v/>
      </c>
      <c r="F655" t="str">
        <f>_xlfn.XLOOKUP(LEFT(A655,2),SECTOR!$A$2:$A$88,SECTOR!$B$2:$B$88,"")</f>
        <v/>
      </c>
      <c r="G655" t="str">
        <f>_xlfn.XLOOKUP(LEFT(A655,3),INDUSTRY!$A$2:$A$259,INDUSTRY!$A$2:$A$259,"")</f>
        <v/>
      </c>
      <c r="H655" t="str">
        <f>_xlfn.XLOOKUP(LEFT(A655,3),INDUSTRY!$A$2:$A$259,INDUSTRY!$B$2:$B$259,"")</f>
        <v/>
      </c>
      <c r="I655" t="str">
        <f t="shared" si="20"/>
        <v/>
      </c>
      <c r="J655" t="str">
        <f t="shared" si="21"/>
        <v/>
      </c>
    </row>
    <row r="656" spans="1:10" x14ac:dyDescent="0.25">
      <c r="A656" t="s">
        <v>2020</v>
      </c>
      <c r="B656" t="s">
        <v>2021</v>
      </c>
      <c r="C656" t="s">
        <v>1993</v>
      </c>
      <c r="D656" t="str">
        <f>_xlfn.XLOOKUP(ISIC_Rev_5_english_structure__1[[#This Row],[Column4]],INDUSTRYGROUP!$C$2:$C$23,INDUSTRYGROUP!$D$2:$D$23,"NONE")</f>
        <v>NONE</v>
      </c>
      <c r="E656" t="str">
        <f>_xlfn.XLOOKUP(LEFT(A656,2),SECTOR!$A$2:$A$88,SECTOR!$A$2:$A$88,"")</f>
        <v/>
      </c>
      <c r="F656" t="str">
        <f>_xlfn.XLOOKUP(LEFT(A656,2),SECTOR!$A$2:$A$88,SECTOR!$B$2:$B$88,"")</f>
        <v/>
      </c>
      <c r="G656" t="str">
        <f>_xlfn.XLOOKUP(LEFT(A656,3),INDUSTRY!$A$2:$A$259,INDUSTRY!$A$2:$A$259,"")</f>
        <v>781</v>
      </c>
      <c r="H656" t="str">
        <f>_xlfn.XLOOKUP(LEFT(A656,3),INDUSTRY!$A$2:$A$259,INDUSTRY!$B$2:$B$259,"")</f>
        <v>Activities of employment placement agencies</v>
      </c>
      <c r="I656" t="str">
        <f t="shared" si="20"/>
        <v/>
      </c>
      <c r="J656" t="str">
        <f t="shared" si="21"/>
        <v/>
      </c>
    </row>
    <row r="657" spans="1:10" x14ac:dyDescent="0.25">
      <c r="A657" t="s">
        <v>2022</v>
      </c>
      <c r="B657" t="s">
        <v>2021</v>
      </c>
      <c r="C657" t="s">
        <v>1993</v>
      </c>
      <c r="D657" t="str">
        <f>_xlfn.XLOOKUP(ISIC_Rev_5_english_structure__1[[#This Row],[Column4]],INDUSTRYGROUP!$C$2:$C$23,INDUSTRYGROUP!$D$2:$D$23,"NONE")</f>
        <v>NONE</v>
      </c>
      <c r="E657" t="str">
        <f>_xlfn.XLOOKUP(LEFT(A657,2),SECTOR!$A$2:$A$88,SECTOR!$A$2:$A$88,"")</f>
        <v/>
      </c>
      <c r="F657" t="str">
        <f>_xlfn.XLOOKUP(LEFT(A657,2),SECTOR!$A$2:$A$88,SECTOR!$B$2:$B$88,"")</f>
        <v/>
      </c>
      <c r="G657" t="str">
        <f>_xlfn.XLOOKUP(LEFT(A657,3),INDUSTRY!$A$2:$A$259,INDUSTRY!$A$2:$A$259,"")</f>
        <v>781</v>
      </c>
      <c r="H657" t="str">
        <f>_xlfn.XLOOKUP(LEFT(A657,3),INDUSTRY!$A$2:$A$259,INDUSTRY!$B$2:$B$259,"")</f>
        <v>Activities of employment placement agencies</v>
      </c>
      <c r="I657" t="str">
        <f t="shared" si="20"/>
        <v>7810</v>
      </c>
      <c r="J657" t="str">
        <f t="shared" si="21"/>
        <v>Activities of employment placement agencies</v>
      </c>
    </row>
    <row r="658" spans="1:10" x14ac:dyDescent="0.25">
      <c r="A658" t="s">
        <v>2023</v>
      </c>
      <c r="B658" t="s">
        <v>2024</v>
      </c>
      <c r="C658" t="s">
        <v>1993</v>
      </c>
      <c r="D658" t="str">
        <f>_xlfn.XLOOKUP(ISIC_Rev_5_english_structure__1[[#This Row],[Column4]],INDUSTRYGROUP!$C$2:$C$23,INDUSTRYGROUP!$D$2:$D$23,"NONE")</f>
        <v>NONE</v>
      </c>
      <c r="E658" t="str">
        <f>_xlfn.XLOOKUP(LEFT(A658,2),SECTOR!$A$2:$A$88,SECTOR!$A$2:$A$88,"")</f>
        <v/>
      </c>
      <c r="F658" t="str">
        <f>_xlfn.XLOOKUP(LEFT(A658,2),SECTOR!$A$2:$A$88,SECTOR!$B$2:$B$88,"")</f>
        <v/>
      </c>
      <c r="G658" t="str">
        <f>_xlfn.XLOOKUP(LEFT(A658,3),INDUSTRY!$A$2:$A$259,INDUSTRY!$A$2:$A$259,"")</f>
        <v>782</v>
      </c>
      <c r="H658" t="str">
        <f>_xlfn.XLOOKUP(LEFT(A658,3),INDUSTRY!$A$2:$A$259,INDUSTRY!$B$2:$B$259,"")</f>
        <v>Temporary employment agency activities and other human resource provisions</v>
      </c>
      <c r="I658" t="str">
        <f t="shared" si="20"/>
        <v/>
      </c>
      <c r="J658" t="str">
        <f t="shared" si="21"/>
        <v/>
      </c>
    </row>
    <row r="659" spans="1:10" x14ac:dyDescent="0.25">
      <c r="A659" t="s">
        <v>2025</v>
      </c>
      <c r="B659" t="s">
        <v>2024</v>
      </c>
      <c r="C659" t="s">
        <v>1993</v>
      </c>
      <c r="D659" t="str">
        <f>_xlfn.XLOOKUP(ISIC_Rev_5_english_structure__1[[#This Row],[Column4]],INDUSTRYGROUP!$C$2:$C$23,INDUSTRYGROUP!$D$2:$D$23,"NONE")</f>
        <v>NONE</v>
      </c>
      <c r="E659" t="str">
        <f>_xlfn.XLOOKUP(LEFT(A659,2),SECTOR!$A$2:$A$88,SECTOR!$A$2:$A$88,"")</f>
        <v/>
      </c>
      <c r="F659" t="str">
        <f>_xlfn.XLOOKUP(LEFT(A659,2),SECTOR!$A$2:$A$88,SECTOR!$B$2:$B$88,"")</f>
        <v/>
      </c>
      <c r="G659" t="str">
        <f>_xlfn.XLOOKUP(LEFT(A659,3),INDUSTRY!$A$2:$A$259,INDUSTRY!$A$2:$A$259,"")</f>
        <v>782</v>
      </c>
      <c r="H659" t="str">
        <f>_xlfn.XLOOKUP(LEFT(A659,3),INDUSTRY!$A$2:$A$259,INDUSTRY!$B$2:$B$259,"")</f>
        <v>Temporary employment agency activities and other human resource provisions</v>
      </c>
      <c r="I659" t="str">
        <f t="shared" si="20"/>
        <v>7820</v>
      </c>
      <c r="J659" t="str">
        <f t="shared" si="21"/>
        <v>Temporary employment agency activities and other human resource provisions</v>
      </c>
    </row>
    <row r="660" spans="1:10" x14ac:dyDescent="0.25">
      <c r="A660" t="s">
        <v>2026</v>
      </c>
      <c r="B660" t="s">
        <v>2027</v>
      </c>
      <c r="C660" t="s">
        <v>1993</v>
      </c>
      <c r="D660" t="str">
        <f>_xlfn.XLOOKUP(ISIC_Rev_5_english_structure__1[[#This Row],[Column4]],INDUSTRYGROUP!$C$2:$C$23,INDUSTRYGROUP!$D$2:$D$23,"NONE")</f>
        <v>NONE</v>
      </c>
      <c r="E660" t="str">
        <f>_xlfn.XLOOKUP(LEFT(A660,2),SECTOR!$A$2:$A$88,SECTOR!$A$2:$A$88,"")</f>
        <v/>
      </c>
      <c r="F660" t="str">
        <f>_xlfn.XLOOKUP(LEFT(A660,2),SECTOR!$A$2:$A$88,SECTOR!$B$2:$B$88,"")</f>
        <v/>
      </c>
      <c r="G660" t="str">
        <f>_xlfn.XLOOKUP(LEFT(A660,3),INDUSTRY!$A$2:$A$259,INDUSTRY!$A$2:$A$259,"")</f>
        <v/>
      </c>
      <c r="H660" t="str">
        <f>_xlfn.XLOOKUP(LEFT(A660,3),INDUSTRY!$A$2:$A$259,INDUSTRY!$B$2:$B$259,"")</f>
        <v/>
      </c>
      <c r="I660" t="str">
        <f t="shared" si="20"/>
        <v/>
      </c>
      <c r="J660" t="str">
        <f t="shared" si="21"/>
        <v/>
      </c>
    </row>
    <row r="661" spans="1:10" x14ac:dyDescent="0.25">
      <c r="A661" t="s">
        <v>2028</v>
      </c>
      <c r="B661" t="s">
        <v>2029</v>
      </c>
      <c r="C661" t="s">
        <v>1993</v>
      </c>
      <c r="D661" t="str">
        <f>_xlfn.XLOOKUP(ISIC_Rev_5_english_structure__1[[#This Row],[Column4]],INDUSTRYGROUP!$C$2:$C$23,INDUSTRYGROUP!$D$2:$D$23,"NONE")</f>
        <v>NONE</v>
      </c>
      <c r="E661" t="str">
        <f>_xlfn.XLOOKUP(LEFT(A661,2),SECTOR!$A$2:$A$88,SECTOR!$A$2:$A$88,"")</f>
        <v/>
      </c>
      <c r="F661" t="str">
        <f>_xlfn.XLOOKUP(LEFT(A661,2),SECTOR!$A$2:$A$88,SECTOR!$B$2:$B$88,"")</f>
        <v/>
      </c>
      <c r="G661" t="str">
        <f>_xlfn.XLOOKUP(LEFT(A661,3),INDUSTRY!$A$2:$A$259,INDUSTRY!$A$2:$A$259,"")</f>
        <v>791</v>
      </c>
      <c r="H661" t="str">
        <f>_xlfn.XLOOKUP(LEFT(A661,3),INDUSTRY!$A$2:$A$259,INDUSTRY!$B$2:$B$259,"")</f>
        <v>Travel agency and tour operator activities</v>
      </c>
      <c r="I661" t="str">
        <f t="shared" si="20"/>
        <v/>
      </c>
      <c r="J661" t="str">
        <f t="shared" si="21"/>
        <v/>
      </c>
    </row>
    <row r="662" spans="1:10" x14ac:dyDescent="0.25">
      <c r="A662" t="s">
        <v>2030</v>
      </c>
      <c r="B662" t="s">
        <v>2031</v>
      </c>
      <c r="C662" t="s">
        <v>1993</v>
      </c>
      <c r="D662" t="str">
        <f>_xlfn.XLOOKUP(ISIC_Rev_5_english_structure__1[[#This Row],[Column4]],INDUSTRYGROUP!$C$2:$C$23,INDUSTRYGROUP!$D$2:$D$23,"NONE")</f>
        <v>NONE</v>
      </c>
      <c r="E662" t="str">
        <f>_xlfn.XLOOKUP(LEFT(A662,2),SECTOR!$A$2:$A$88,SECTOR!$A$2:$A$88,"")</f>
        <v/>
      </c>
      <c r="F662" t="str">
        <f>_xlfn.XLOOKUP(LEFT(A662,2),SECTOR!$A$2:$A$88,SECTOR!$B$2:$B$88,"")</f>
        <v/>
      </c>
      <c r="G662" t="str">
        <f>_xlfn.XLOOKUP(LEFT(A662,3),INDUSTRY!$A$2:$A$259,INDUSTRY!$A$2:$A$259,"")</f>
        <v>791</v>
      </c>
      <c r="H662" t="str">
        <f>_xlfn.XLOOKUP(LEFT(A662,3),INDUSTRY!$A$2:$A$259,INDUSTRY!$B$2:$B$259,"")</f>
        <v>Travel agency and tour operator activities</v>
      </c>
      <c r="I662" t="str">
        <f t="shared" si="20"/>
        <v>7911</v>
      </c>
      <c r="J662" t="str">
        <f t="shared" si="21"/>
        <v>Travel agency activities</v>
      </c>
    </row>
    <row r="663" spans="1:10" x14ac:dyDescent="0.25">
      <c r="A663" t="s">
        <v>2032</v>
      </c>
      <c r="B663" t="s">
        <v>2033</v>
      </c>
      <c r="C663" t="s">
        <v>1993</v>
      </c>
      <c r="D663" t="str">
        <f>_xlfn.XLOOKUP(ISIC_Rev_5_english_structure__1[[#This Row],[Column4]],INDUSTRYGROUP!$C$2:$C$23,INDUSTRYGROUP!$D$2:$D$23,"NONE")</f>
        <v>NONE</v>
      </c>
      <c r="E663" t="str">
        <f>_xlfn.XLOOKUP(LEFT(A663,2),SECTOR!$A$2:$A$88,SECTOR!$A$2:$A$88,"")</f>
        <v/>
      </c>
      <c r="F663" t="str">
        <f>_xlfn.XLOOKUP(LEFT(A663,2),SECTOR!$A$2:$A$88,SECTOR!$B$2:$B$88,"")</f>
        <v/>
      </c>
      <c r="G663" t="str">
        <f>_xlfn.XLOOKUP(LEFT(A663,3),INDUSTRY!$A$2:$A$259,INDUSTRY!$A$2:$A$259,"")</f>
        <v>791</v>
      </c>
      <c r="H663" t="str">
        <f>_xlfn.XLOOKUP(LEFT(A663,3),INDUSTRY!$A$2:$A$259,INDUSTRY!$B$2:$B$259,"")</f>
        <v>Travel agency and tour operator activities</v>
      </c>
      <c r="I663" t="str">
        <f t="shared" si="20"/>
        <v>7912</v>
      </c>
      <c r="J663" t="str">
        <f t="shared" si="21"/>
        <v>Tour operator activities</v>
      </c>
    </row>
    <row r="664" spans="1:10" x14ac:dyDescent="0.25">
      <c r="A664" t="s">
        <v>2034</v>
      </c>
      <c r="B664" t="s">
        <v>2035</v>
      </c>
      <c r="C664" t="s">
        <v>1993</v>
      </c>
      <c r="D664" t="str">
        <f>_xlfn.XLOOKUP(ISIC_Rev_5_english_structure__1[[#This Row],[Column4]],INDUSTRYGROUP!$C$2:$C$23,INDUSTRYGROUP!$D$2:$D$23,"NONE")</f>
        <v>NONE</v>
      </c>
      <c r="E664" t="str">
        <f>_xlfn.XLOOKUP(LEFT(A664,2),SECTOR!$A$2:$A$88,SECTOR!$A$2:$A$88,"")</f>
        <v/>
      </c>
      <c r="F664" t="str">
        <f>_xlfn.XLOOKUP(LEFT(A664,2),SECTOR!$A$2:$A$88,SECTOR!$B$2:$B$88,"")</f>
        <v/>
      </c>
      <c r="G664" t="str">
        <f>_xlfn.XLOOKUP(LEFT(A664,3),INDUSTRY!$A$2:$A$259,INDUSTRY!$A$2:$A$259,"")</f>
        <v>799</v>
      </c>
      <c r="H664" t="str">
        <f>_xlfn.XLOOKUP(LEFT(A664,3),INDUSTRY!$A$2:$A$259,INDUSTRY!$B$2:$B$259,"")</f>
        <v>Other travel related activities</v>
      </c>
      <c r="I664" t="str">
        <f t="shared" si="20"/>
        <v/>
      </c>
      <c r="J664" t="str">
        <f t="shared" si="21"/>
        <v/>
      </c>
    </row>
    <row r="665" spans="1:10" x14ac:dyDescent="0.25">
      <c r="A665" t="s">
        <v>2036</v>
      </c>
      <c r="B665" t="s">
        <v>2035</v>
      </c>
      <c r="C665" t="s">
        <v>1993</v>
      </c>
      <c r="D665" t="str">
        <f>_xlfn.XLOOKUP(ISIC_Rev_5_english_structure__1[[#This Row],[Column4]],INDUSTRYGROUP!$C$2:$C$23,INDUSTRYGROUP!$D$2:$D$23,"NONE")</f>
        <v>NONE</v>
      </c>
      <c r="E665" t="str">
        <f>_xlfn.XLOOKUP(LEFT(A665,2),SECTOR!$A$2:$A$88,SECTOR!$A$2:$A$88,"")</f>
        <v/>
      </c>
      <c r="F665" t="str">
        <f>_xlfn.XLOOKUP(LEFT(A665,2),SECTOR!$A$2:$A$88,SECTOR!$B$2:$B$88,"")</f>
        <v/>
      </c>
      <c r="G665" t="str">
        <f>_xlfn.XLOOKUP(LEFT(A665,3),INDUSTRY!$A$2:$A$259,INDUSTRY!$A$2:$A$259,"")</f>
        <v>799</v>
      </c>
      <c r="H665" t="str">
        <f>_xlfn.XLOOKUP(LEFT(A665,3),INDUSTRY!$A$2:$A$259,INDUSTRY!$B$2:$B$259,"")</f>
        <v>Other travel related activities</v>
      </c>
      <c r="I665" t="str">
        <f t="shared" si="20"/>
        <v>7990</v>
      </c>
      <c r="J665" t="str">
        <f t="shared" si="21"/>
        <v>Other travel related activities</v>
      </c>
    </row>
    <row r="666" spans="1:10" x14ac:dyDescent="0.25">
      <c r="A666" t="s">
        <v>2037</v>
      </c>
      <c r="B666" t="s">
        <v>2038</v>
      </c>
      <c r="C666" t="s">
        <v>1993</v>
      </c>
      <c r="D666" t="str">
        <f>_xlfn.XLOOKUP(ISIC_Rev_5_english_structure__1[[#This Row],[Column4]],INDUSTRYGROUP!$C$2:$C$23,INDUSTRYGROUP!$D$2:$D$23,"NONE")</f>
        <v>NONE</v>
      </c>
      <c r="E666" t="str">
        <f>_xlfn.XLOOKUP(LEFT(A666,2),SECTOR!$A$2:$A$88,SECTOR!$A$2:$A$88,"")</f>
        <v/>
      </c>
      <c r="F666" t="str">
        <f>_xlfn.XLOOKUP(LEFT(A666,2),SECTOR!$A$2:$A$88,SECTOR!$B$2:$B$88,"")</f>
        <v/>
      </c>
      <c r="G666" t="str">
        <f>_xlfn.XLOOKUP(LEFT(A666,3),INDUSTRY!$A$2:$A$259,INDUSTRY!$A$2:$A$259,"")</f>
        <v/>
      </c>
      <c r="H666" t="str">
        <f>_xlfn.XLOOKUP(LEFT(A666,3),INDUSTRY!$A$2:$A$259,INDUSTRY!$B$2:$B$259,"")</f>
        <v/>
      </c>
      <c r="I666" t="str">
        <f t="shared" si="20"/>
        <v/>
      </c>
      <c r="J666" t="str">
        <f t="shared" si="21"/>
        <v/>
      </c>
    </row>
    <row r="667" spans="1:10" x14ac:dyDescent="0.25">
      <c r="A667" t="s">
        <v>2039</v>
      </c>
      <c r="B667" t="s">
        <v>2038</v>
      </c>
      <c r="C667" t="s">
        <v>1993</v>
      </c>
      <c r="D667" t="str">
        <f>_xlfn.XLOOKUP(ISIC_Rev_5_english_structure__1[[#This Row],[Column4]],INDUSTRYGROUP!$C$2:$C$23,INDUSTRYGROUP!$D$2:$D$23,"NONE")</f>
        <v>NONE</v>
      </c>
      <c r="E667" t="str">
        <f>_xlfn.XLOOKUP(LEFT(A667,2),SECTOR!$A$2:$A$88,SECTOR!$A$2:$A$88,"")</f>
        <v/>
      </c>
      <c r="F667" t="str">
        <f>_xlfn.XLOOKUP(LEFT(A667,2),SECTOR!$A$2:$A$88,SECTOR!$B$2:$B$88,"")</f>
        <v/>
      </c>
      <c r="G667" t="str">
        <f>_xlfn.XLOOKUP(LEFT(A667,3),INDUSTRY!$A$2:$A$259,INDUSTRY!$A$2:$A$259,"")</f>
        <v>801</v>
      </c>
      <c r="H667" t="str">
        <f>_xlfn.XLOOKUP(LEFT(A667,3),INDUSTRY!$A$2:$A$259,INDUSTRY!$B$2:$B$259,"")</f>
        <v>Investigation and security activities</v>
      </c>
      <c r="I667" t="str">
        <f t="shared" si="20"/>
        <v/>
      </c>
      <c r="J667" t="str">
        <f t="shared" si="21"/>
        <v/>
      </c>
    </row>
    <row r="668" spans="1:10" x14ac:dyDescent="0.25">
      <c r="A668" t="s">
        <v>2040</v>
      </c>
      <c r="B668" t="s">
        <v>2041</v>
      </c>
      <c r="C668" t="s">
        <v>1993</v>
      </c>
      <c r="D668" t="str">
        <f>_xlfn.XLOOKUP(ISIC_Rev_5_english_structure__1[[#This Row],[Column4]],INDUSTRYGROUP!$C$2:$C$23,INDUSTRYGROUP!$D$2:$D$23,"NONE")</f>
        <v>NONE</v>
      </c>
      <c r="E668" t="str">
        <f>_xlfn.XLOOKUP(LEFT(A668,2),SECTOR!$A$2:$A$88,SECTOR!$A$2:$A$88,"")</f>
        <v/>
      </c>
      <c r="F668" t="str">
        <f>_xlfn.XLOOKUP(LEFT(A668,2),SECTOR!$A$2:$A$88,SECTOR!$B$2:$B$88,"")</f>
        <v/>
      </c>
      <c r="G668" t="str">
        <f>_xlfn.XLOOKUP(LEFT(A668,3),INDUSTRY!$A$2:$A$259,INDUSTRY!$A$2:$A$259,"")</f>
        <v>801</v>
      </c>
      <c r="H668" t="str">
        <f>_xlfn.XLOOKUP(LEFT(A668,3),INDUSTRY!$A$2:$A$259,INDUSTRY!$B$2:$B$259,"")</f>
        <v>Investigation and security activities</v>
      </c>
      <c r="I668" t="str">
        <f t="shared" si="20"/>
        <v>8011</v>
      </c>
      <c r="J668" t="str">
        <f t="shared" si="21"/>
        <v>Investigation and private security activities</v>
      </c>
    </row>
    <row r="669" spans="1:10" x14ac:dyDescent="0.25">
      <c r="A669" t="s">
        <v>2042</v>
      </c>
      <c r="B669" t="s">
        <v>2043</v>
      </c>
      <c r="C669" t="s">
        <v>1993</v>
      </c>
      <c r="D669" t="str">
        <f>_xlfn.XLOOKUP(ISIC_Rev_5_english_structure__1[[#This Row],[Column4]],INDUSTRYGROUP!$C$2:$C$23,INDUSTRYGROUP!$D$2:$D$23,"NONE")</f>
        <v>NONE</v>
      </c>
      <c r="E669" t="str">
        <f>_xlfn.XLOOKUP(LEFT(A669,2),SECTOR!$A$2:$A$88,SECTOR!$A$2:$A$88,"")</f>
        <v/>
      </c>
      <c r="F669" t="str">
        <f>_xlfn.XLOOKUP(LEFT(A669,2),SECTOR!$A$2:$A$88,SECTOR!$B$2:$B$88,"")</f>
        <v/>
      </c>
      <c r="G669" t="str">
        <f>_xlfn.XLOOKUP(LEFT(A669,3),INDUSTRY!$A$2:$A$259,INDUSTRY!$A$2:$A$259,"")</f>
        <v>801</v>
      </c>
      <c r="H669" t="str">
        <f>_xlfn.XLOOKUP(LEFT(A669,3),INDUSTRY!$A$2:$A$259,INDUSTRY!$B$2:$B$259,"")</f>
        <v>Investigation and security activities</v>
      </c>
      <c r="I669" t="str">
        <f t="shared" si="20"/>
        <v>8019</v>
      </c>
      <c r="J669" t="str">
        <f t="shared" si="21"/>
        <v>Security activities n.e.c.</v>
      </c>
    </row>
    <row r="670" spans="1:10" x14ac:dyDescent="0.25">
      <c r="A670" t="s">
        <v>2044</v>
      </c>
      <c r="B670" t="s">
        <v>2045</v>
      </c>
      <c r="C670" t="s">
        <v>1993</v>
      </c>
      <c r="D670" t="str">
        <f>_xlfn.XLOOKUP(ISIC_Rev_5_english_structure__1[[#This Row],[Column4]],INDUSTRYGROUP!$C$2:$C$23,INDUSTRYGROUP!$D$2:$D$23,"NONE")</f>
        <v>NONE</v>
      </c>
      <c r="E670" t="str">
        <f>_xlfn.XLOOKUP(LEFT(A670,2),SECTOR!$A$2:$A$88,SECTOR!$A$2:$A$88,"")</f>
        <v/>
      </c>
      <c r="F670" t="str">
        <f>_xlfn.XLOOKUP(LEFT(A670,2),SECTOR!$A$2:$A$88,SECTOR!$B$2:$B$88,"")</f>
        <v/>
      </c>
      <c r="G670" t="str">
        <f>_xlfn.XLOOKUP(LEFT(A670,3),INDUSTRY!$A$2:$A$259,INDUSTRY!$A$2:$A$259,"")</f>
        <v/>
      </c>
      <c r="H670" t="str">
        <f>_xlfn.XLOOKUP(LEFT(A670,3),INDUSTRY!$A$2:$A$259,INDUSTRY!$B$2:$B$259,"")</f>
        <v/>
      </c>
      <c r="I670" t="str">
        <f t="shared" si="20"/>
        <v/>
      </c>
      <c r="J670" t="str">
        <f t="shared" si="21"/>
        <v/>
      </c>
    </row>
    <row r="671" spans="1:10" x14ac:dyDescent="0.25">
      <c r="A671" t="s">
        <v>2046</v>
      </c>
      <c r="B671" t="s">
        <v>2047</v>
      </c>
      <c r="C671" t="s">
        <v>1993</v>
      </c>
      <c r="D671" t="str">
        <f>_xlfn.XLOOKUP(ISIC_Rev_5_english_structure__1[[#This Row],[Column4]],INDUSTRYGROUP!$C$2:$C$23,INDUSTRYGROUP!$D$2:$D$23,"NONE")</f>
        <v>NONE</v>
      </c>
      <c r="E671" t="str">
        <f>_xlfn.XLOOKUP(LEFT(A671,2),SECTOR!$A$2:$A$88,SECTOR!$A$2:$A$88,"")</f>
        <v/>
      </c>
      <c r="F671" t="str">
        <f>_xlfn.XLOOKUP(LEFT(A671,2),SECTOR!$A$2:$A$88,SECTOR!$B$2:$B$88,"")</f>
        <v/>
      </c>
      <c r="G671" t="str">
        <f>_xlfn.XLOOKUP(LEFT(A671,3),INDUSTRY!$A$2:$A$259,INDUSTRY!$A$2:$A$259,"")</f>
        <v>811</v>
      </c>
      <c r="H671" t="str">
        <f>_xlfn.XLOOKUP(LEFT(A671,3),INDUSTRY!$A$2:$A$259,INDUSTRY!$B$2:$B$259,"")</f>
        <v>Combined facilities support activities</v>
      </c>
      <c r="I671" t="str">
        <f t="shared" si="20"/>
        <v/>
      </c>
      <c r="J671" t="str">
        <f t="shared" si="21"/>
        <v/>
      </c>
    </row>
    <row r="672" spans="1:10" x14ac:dyDescent="0.25">
      <c r="A672" t="s">
        <v>2048</v>
      </c>
      <c r="B672" t="s">
        <v>2047</v>
      </c>
      <c r="C672" t="s">
        <v>1993</v>
      </c>
      <c r="D672" t="str">
        <f>_xlfn.XLOOKUP(ISIC_Rev_5_english_structure__1[[#This Row],[Column4]],INDUSTRYGROUP!$C$2:$C$23,INDUSTRYGROUP!$D$2:$D$23,"NONE")</f>
        <v>NONE</v>
      </c>
      <c r="E672" t="str">
        <f>_xlfn.XLOOKUP(LEFT(A672,2),SECTOR!$A$2:$A$88,SECTOR!$A$2:$A$88,"")</f>
        <v/>
      </c>
      <c r="F672" t="str">
        <f>_xlfn.XLOOKUP(LEFT(A672,2),SECTOR!$A$2:$A$88,SECTOR!$B$2:$B$88,"")</f>
        <v/>
      </c>
      <c r="G672" t="str">
        <f>_xlfn.XLOOKUP(LEFT(A672,3),INDUSTRY!$A$2:$A$259,INDUSTRY!$A$2:$A$259,"")</f>
        <v>811</v>
      </c>
      <c r="H672" t="str">
        <f>_xlfn.XLOOKUP(LEFT(A672,3),INDUSTRY!$A$2:$A$259,INDUSTRY!$B$2:$B$259,"")</f>
        <v>Combined facilities support activities</v>
      </c>
      <c r="I672" t="str">
        <f t="shared" si="20"/>
        <v>8110</v>
      </c>
      <c r="J672" t="str">
        <f t="shared" si="21"/>
        <v>Combined facilities support activities</v>
      </c>
    </row>
    <row r="673" spans="1:10" x14ac:dyDescent="0.25">
      <c r="A673" t="s">
        <v>2049</v>
      </c>
      <c r="B673" t="s">
        <v>2050</v>
      </c>
      <c r="C673" t="s">
        <v>1993</v>
      </c>
      <c r="D673" t="str">
        <f>_xlfn.XLOOKUP(ISIC_Rev_5_english_structure__1[[#This Row],[Column4]],INDUSTRYGROUP!$C$2:$C$23,INDUSTRYGROUP!$D$2:$D$23,"NONE")</f>
        <v>NONE</v>
      </c>
      <c r="E673" t="str">
        <f>_xlfn.XLOOKUP(LEFT(A673,2),SECTOR!$A$2:$A$88,SECTOR!$A$2:$A$88,"")</f>
        <v/>
      </c>
      <c r="F673" t="str">
        <f>_xlfn.XLOOKUP(LEFT(A673,2),SECTOR!$A$2:$A$88,SECTOR!$B$2:$B$88,"")</f>
        <v/>
      </c>
      <c r="G673" t="str">
        <f>_xlfn.XLOOKUP(LEFT(A673,3),INDUSTRY!$A$2:$A$259,INDUSTRY!$A$2:$A$259,"")</f>
        <v>812</v>
      </c>
      <c r="H673" t="str">
        <f>_xlfn.XLOOKUP(LEFT(A673,3),INDUSTRY!$A$2:$A$259,INDUSTRY!$B$2:$B$259,"")</f>
        <v>Cleaning activities</v>
      </c>
      <c r="I673" t="str">
        <f t="shared" si="20"/>
        <v/>
      </c>
      <c r="J673" t="str">
        <f t="shared" si="21"/>
        <v/>
      </c>
    </row>
    <row r="674" spans="1:10" x14ac:dyDescent="0.25">
      <c r="A674" t="s">
        <v>2051</v>
      </c>
      <c r="B674" t="s">
        <v>2052</v>
      </c>
      <c r="C674" t="s">
        <v>1993</v>
      </c>
      <c r="D674" t="str">
        <f>_xlfn.XLOOKUP(ISIC_Rev_5_english_structure__1[[#This Row],[Column4]],INDUSTRYGROUP!$C$2:$C$23,INDUSTRYGROUP!$D$2:$D$23,"NONE")</f>
        <v>NONE</v>
      </c>
      <c r="E674" t="str">
        <f>_xlfn.XLOOKUP(LEFT(A674,2),SECTOR!$A$2:$A$88,SECTOR!$A$2:$A$88,"")</f>
        <v/>
      </c>
      <c r="F674" t="str">
        <f>_xlfn.XLOOKUP(LEFT(A674,2),SECTOR!$A$2:$A$88,SECTOR!$B$2:$B$88,"")</f>
        <v/>
      </c>
      <c r="G674" t="str">
        <f>_xlfn.XLOOKUP(LEFT(A674,3),INDUSTRY!$A$2:$A$259,INDUSTRY!$A$2:$A$259,"")</f>
        <v>812</v>
      </c>
      <c r="H674" t="str">
        <f>_xlfn.XLOOKUP(LEFT(A674,3),INDUSTRY!$A$2:$A$259,INDUSTRY!$B$2:$B$259,"")</f>
        <v>Cleaning activities</v>
      </c>
      <c r="I674" t="str">
        <f t="shared" si="20"/>
        <v>8121</v>
      </c>
      <c r="J674" t="str">
        <f t="shared" si="21"/>
        <v>General cleaning of buildings</v>
      </c>
    </row>
    <row r="675" spans="1:10" x14ac:dyDescent="0.25">
      <c r="A675" t="s">
        <v>2053</v>
      </c>
      <c r="B675" t="s">
        <v>2054</v>
      </c>
      <c r="C675" t="s">
        <v>1993</v>
      </c>
      <c r="D675" t="str">
        <f>_xlfn.XLOOKUP(ISIC_Rev_5_english_structure__1[[#This Row],[Column4]],INDUSTRYGROUP!$C$2:$C$23,INDUSTRYGROUP!$D$2:$D$23,"NONE")</f>
        <v>NONE</v>
      </c>
      <c r="E675" t="str">
        <f>_xlfn.XLOOKUP(LEFT(A675,2),SECTOR!$A$2:$A$88,SECTOR!$A$2:$A$88,"")</f>
        <v/>
      </c>
      <c r="F675" t="str">
        <f>_xlfn.XLOOKUP(LEFT(A675,2),SECTOR!$A$2:$A$88,SECTOR!$B$2:$B$88,"")</f>
        <v/>
      </c>
      <c r="G675" t="str">
        <f>_xlfn.XLOOKUP(LEFT(A675,3),INDUSTRY!$A$2:$A$259,INDUSTRY!$A$2:$A$259,"")</f>
        <v>812</v>
      </c>
      <c r="H675" t="str">
        <f>_xlfn.XLOOKUP(LEFT(A675,3),INDUSTRY!$A$2:$A$259,INDUSTRY!$B$2:$B$259,"")</f>
        <v>Cleaning activities</v>
      </c>
      <c r="I675" t="str">
        <f t="shared" si="20"/>
        <v>8129</v>
      </c>
      <c r="J675" t="str">
        <f t="shared" si="21"/>
        <v>Other cleaning activities</v>
      </c>
    </row>
    <row r="676" spans="1:10" x14ac:dyDescent="0.25">
      <c r="A676" t="s">
        <v>2055</v>
      </c>
      <c r="B676" t="s">
        <v>2056</v>
      </c>
      <c r="C676" t="s">
        <v>1993</v>
      </c>
      <c r="D676" t="str">
        <f>_xlfn.XLOOKUP(ISIC_Rev_5_english_structure__1[[#This Row],[Column4]],INDUSTRYGROUP!$C$2:$C$23,INDUSTRYGROUP!$D$2:$D$23,"NONE")</f>
        <v>NONE</v>
      </c>
      <c r="E676" t="str">
        <f>_xlfn.XLOOKUP(LEFT(A676,2),SECTOR!$A$2:$A$88,SECTOR!$A$2:$A$88,"")</f>
        <v/>
      </c>
      <c r="F676" t="str">
        <f>_xlfn.XLOOKUP(LEFT(A676,2),SECTOR!$A$2:$A$88,SECTOR!$B$2:$B$88,"")</f>
        <v/>
      </c>
      <c r="G676" t="str">
        <f>_xlfn.XLOOKUP(LEFT(A676,3),INDUSTRY!$A$2:$A$259,INDUSTRY!$A$2:$A$259,"")</f>
        <v>813</v>
      </c>
      <c r="H676" t="str">
        <f>_xlfn.XLOOKUP(LEFT(A676,3),INDUSTRY!$A$2:$A$259,INDUSTRY!$B$2:$B$259,"")</f>
        <v>Landscape service activities</v>
      </c>
      <c r="I676" t="str">
        <f t="shared" si="20"/>
        <v/>
      </c>
      <c r="J676" t="str">
        <f t="shared" si="21"/>
        <v/>
      </c>
    </row>
    <row r="677" spans="1:10" x14ac:dyDescent="0.25">
      <c r="A677" t="s">
        <v>2057</v>
      </c>
      <c r="B677" t="s">
        <v>2056</v>
      </c>
      <c r="C677" t="s">
        <v>1993</v>
      </c>
      <c r="D677" t="str">
        <f>_xlfn.XLOOKUP(ISIC_Rev_5_english_structure__1[[#This Row],[Column4]],INDUSTRYGROUP!$C$2:$C$23,INDUSTRYGROUP!$D$2:$D$23,"NONE")</f>
        <v>NONE</v>
      </c>
      <c r="E677" t="str">
        <f>_xlfn.XLOOKUP(LEFT(A677,2),SECTOR!$A$2:$A$88,SECTOR!$A$2:$A$88,"")</f>
        <v/>
      </c>
      <c r="F677" t="str">
        <f>_xlfn.XLOOKUP(LEFT(A677,2),SECTOR!$A$2:$A$88,SECTOR!$B$2:$B$88,"")</f>
        <v/>
      </c>
      <c r="G677" t="str">
        <f>_xlfn.XLOOKUP(LEFT(A677,3),INDUSTRY!$A$2:$A$259,INDUSTRY!$A$2:$A$259,"")</f>
        <v>813</v>
      </c>
      <c r="H677" t="str">
        <f>_xlfn.XLOOKUP(LEFT(A677,3),INDUSTRY!$A$2:$A$259,INDUSTRY!$B$2:$B$259,"")</f>
        <v>Landscape service activities</v>
      </c>
      <c r="I677" t="str">
        <f t="shared" si="20"/>
        <v>8130</v>
      </c>
      <c r="J677" t="str">
        <f t="shared" si="21"/>
        <v>Landscape service activities</v>
      </c>
    </row>
    <row r="678" spans="1:10" x14ac:dyDescent="0.25">
      <c r="A678" t="s">
        <v>2058</v>
      </c>
      <c r="B678" t="s">
        <v>2059</v>
      </c>
      <c r="C678" t="s">
        <v>1993</v>
      </c>
      <c r="D678" t="str">
        <f>_xlfn.XLOOKUP(ISIC_Rev_5_english_structure__1[[#This Row],[Column4]],INDUSTRYGROUP!$C$2:$C$23,INDUSTRYGROUP!$D$2:$D$23,"NONE")</f>
        <v>NONE</v>
      </c>
      <c r="E678" t="str">
        <f>_xlfn.XLOOKUP(LEFT(A678,2),SECTOR!$A$2:$A$88,SECTOR!$A$2:$A$88,"")</f>
        <v/>
      </c>
      <c r="F678" t="str">
        <f>_xlfn.XLOOKUP(LEFT(A678,2),SECTOR!$A$2:$A$88,SECTOR!$B$2:$B$88,"")</f>
        <v/>
      </c>
      <c r="G678" t="str">
        <f>_xlfn.XLOOKUP(LEFT(A678,3),INDUSTRY!$A$2:$A$259,INDUSTRY!$A$2:$A$259,"")</f>
        <v/>
      </c>
      <c r="H678" t="str">
        <f>_xlfn.XLOOKUP(LEFT(A678,3),INDUSTRY!$A$2:$A$259,INDUSTRY!$B$2:$B$259,"")</f>
        <v/>
      </c>
      <c r="I678" t="str">
        <f t="shared" si="20"/>
        <v/>
      </c>
      <c r="J678" t="str">
        <f t="shared" si="21"/>
        <v/>
      </c>
    </row>
    <row r="679" spans="1:10" x14ac:dyDescent="0.25">
      <c r="A679" t="s">
        <v>2060</v>
      </c>
      <c r="B679" t="s">
        <v>2061</v>
      </c>
      <c r="C679" t="s">
        <v>1993</v>
      </c>
      <c r="D679" t="str">
        <f>_xlfn.XLOOKUP(ISIC_Rev_5_english_structure__1[[#This Row],[Column4]],INDUSTRYGROUP!$C$2:$C$23,INDUSTRYGROUP!$D$2:$D$23,"NONE")</f>
        <v>NONE</v>
      </c>
      <c r="E679" t="str">
        <f>_xlfn.XLOOKUP(LEFT(A679,2),SECTOR!$A$2:$A$88,SECTOR!$A$2:$A$88,"")</f>
        <v/>
      </c>
      <c r="F679" t="str">
        <f>_xlfn.XLOOKUP(LEFT(A679,2),SECTOR!$A$2:$A$88,SECTOR!$B$2:$B$88,"")</f>
        <v/>
      </c>
      <c r="G679" t="str">
        <f>_xlfn.XLOOKUP(LEFT(A679,3),INDUSTRY!$A$2:$A$259,INDUSTRY!$A$2:$A$259,"")</f>
        <v>821</v>
      </c>
      <c r="H679" t="str">
        <f>_xlfn.XLOOKUP(LEFT(A679,3),INDUSTRY!$A$2:$A$259,INDUSTRY!$B$2:$B$259,"")</f>
        <v>Office administrative and support activities</v>
      </c>
      <c r="I679" t="str">
        <f t="shared" si="20"/>
        <v/>
      </c>
      <c r="J679" t="str">
        <f t="shared" si="21"/>
        <v/>
      </c>
    </row>
    <row r="680" spans="1:10" x14ac:dyDescent="0.25">
      <c r="A680" t="s">
        <v>2062</v>
      </c>
      <c r="B680" t="s">
        <v>2061</v>
      </c>
      <c r="C680" t="s">
        <v>1993</v>
      </c>
      <c r="D680" t="str">
        <f>_xlfn.XLOOKUP(ISIC_Rev_5_english_structure__1[[#This Row],[Column4]],INDUSTRYGROUP!$C$2:$C$23,INDUSTRYGROUP!$D$2:$D$23,"NONE")</f>
        <v>NONE</v>
      </c>
      <c r="E680" t="str">
        <f>_xlfn.XLOOKUP(LEFT(A680,2),SECTOR!$A$2:$A$88,SECTOR!$A$2:$A$88,"")</f>
        <v/>
      </c>
      <c r="F680" t="str">
        <f>_xlfn.XLOOKUP(LEFT(A680,2),SECTOR!$A$2:$A$88,SECTOR!$B$2:$B$88,"")</f>
        <v/>
      </c>
      <c r="G680" t="str">
        <f>_xlfn.XLOOKUP(LEFT(A680,3),INDUSTRY!$A$2:$A$259,INDUSTRY!$A$2:$A$259,"")</f>
        <v>821</v>
      </c>
      <c r="H680" t="str">
        <f>_xlfn.XLOOKUP(LEFT(A680,3),INDUSTRY!$A$2:$A$259,INDUSTRY!$B$2:$B$259,"")</f>
        <v>Office administrative and support activities</v>
      </c>
      <c r="I680" t="str">
        <f t="shared" si="20"/>
        <v>8210</v>
      </c>
      <c r="J680" t="str">
        <f t="shared" si="21"/>
        <v>Office administrative and support activities</v>
      </c>
    </row>
    <row r="681" spans="1:10" x14ac:dyDescent="0.25">
      <c r="A681" t="s">
        <v>2063</v>
      </c>
      <c r="B681" t="s">
        <v>2064</v>
      </c>
      <c r="C681" t="s">
        <v>1993</v>
      </c>
      <c r="D681" t="str">
        <f>_xlfn.XLOOKUP(ISIC_Rev_5_english_structure__1[[#This Row],[Column4]],INDUSTRYGROUP!$C$2:$C$23,INDUSTRYGROUP!$D$2:$D$23,"NONE")</f>
        <v>NONE</v>
      </c>
      <c r="E681" t="str">
        <f>_xlfn.XLOOKUP(LEFT(A681,2),SECTOR!$A$2:$A$88,SECTOR!$A$2:$A$88,"")</f>
        <v/>
      </c>
      <c r="F681" t="str">
        <f>_xlfn.XLOOKUP(LEFT(A681,2),SECTOR!$A$2:$A$88,SECTOR!$B$2:$B$88,"")</f>
        <v/>
      </c>
      <c r="G681" t="str">
        <f>_xlfn.XLOOKUP(LEFT(A681,3),INDUSTRY!$A$2:$A$259,INDUSTRY!$A$2:$A$259,"")</f>
        <v>822</v>
      </c>
      <c r="H681" t="str">
        <f>_xlfn.XLOOKUP(LEFT(A681,3),INDUSTRY!$A$2:$A$259,INDUSTRY!$B$2:$B$259,"")</f>
        <v>Activities of call centres</v>
      </c>
      <c r="I681" t="str">
        <f t="shared" si="20"/>
        <v/>
      </c>
      <c r="J681" t="str">
        <f t="shared" si="21"/>
        <v/>
      </c>
    </row>
    <row r="682" spans="1:10" x14ac:dyDescent="0.25">
      <c r="A682" t="s">
        <v>2065</v>
      </c>
      <c r="B682" t="s">
        <v>2064</v>
      </c>
      <c r="C682" t="s">
        <v>1993</v>
      </c>
      <c r="D682" t="str">
        <f>_xlfn.XLOOKUP(ISIC_Rev_5_english_structure__1[[#This Row],[Column4]],INDUSTRYGROUP!$C$2:$C$23,INDUSTRYGROUP!$D$2:$D$23,"NONE")</f>
        <v>NONE</v>
      </c>
      <c r="E682" t="str">
        <f>_xlfn.XLOOKUP(LEFT(A682,2),SECTOR!$A$2:$A$88,SECTOR!$A$2:$A$88,"")</f>
        <v/>
      </c>
      <c r="F682" t="str">
        <f>_xlfn.XLOOKUP(LEFT(A682,2),SECTOR!$A$2:$A$88,SECTOR!$B$2:$B$88,"")</f>
        <v/>
      </c>
      <c r="G682" t="str">
        <f>_xlfn.XLOOKUP(LEFT(A682,3),INDUSTRY!$A$2:$A$259,INDUSTRY!$A$2:$A$259,"")</f>
        <v>822</v>
      </c>
      <c r="H682" t="str">
        <f>_xlfn.XLOOKUP(LEFT(A682,3),INDUSTRY!$A$2:$A$259,INDUSTRY!$B$2:$B$259,"")</f>
        <v>Activities of call centres</v>
      </c>
      <c r="I682" t="str">
        <f t="shared" si="20"/>
        <v>8220</v>
      </c>
      <c r="J682" t="str">
        <f t="shared" si="21"/>
        <v>Activities of call centres</v>
      </c>
    </row>
    <row r="683" spans="1:10" x14ac:dyDescent="0.25">
      <c r="A683" t="s">
        <v>2066</v>
      </c>
      <c r="B683" t="s">
        <v>2067</v>
      </c>
      <c r="C683" t="s">
        <v>1993</v>
      </c>
      <c r="D683" t="str">
        <f>_xlfn.XLOOKUP(ISIC_Rev_5_english_structure__1[[#This Row],[Column4]],INDUSTRYGROUP!$C$2:$C$23,INDUSTRYGROUP!$D$2:$D$23,"NONE")</f>
        <v>NONE</v>
      </c>
      <c r="E683" t="str">
        <f>_xlfn.XLOOKUP(LEFT(A683,2),SECTOR!$A$2:$A$88,SECTOR!$A$2:$A$88,"")</f>
        <v/>
      </c>
      <c r="F683" t="str">
        <f>_xlfn.XLOOKUP(LEFT(A683,2),SECTOR!$A$2:$A$88,SECTOR!$B$2:$B$88,"")</f>
        <v/>
      </c>
      <c r="G683" t="str">
        <f>_xlfn.XLOOKUP(LEFT(A683,3),INDUSTRY!$A$2:$A$259,INDUSTRY!$A$2:$A$259,"")</f>
        <v>823</v>
      </c>
      <c r="H683" t="str">
        <f>_xlfn.XLOOKUP(LEFT(A683,3),INDUSTRY!$A$2:$A$259,INDUSTRY!$B$2:$B$259,"")</f>
        <v>Organization of conventions and trade shows</v>
      </c>
      <c r="I683" t="str">
        <f t="shared" si="20"/>
        <v/>
      </c>
      <c r="J683" t="str">
        <f t="shared" si="21"/>
        <v/>
      </c>
    </row>
    <row r="684" spans="1:10" x14ac:dyDescent="0.25">
      <c r="A684" t="s">
        <v>2068</v>
      </c>
      <c r="B684" t="s">
        <v>2067</v>
      </c>
      <c r="C684" t="s">
        <v>1993</v>
      </c>
      <c r="D684" t="str">
        <f>_xlfn.XLOOKUP(ISIC_Rev_5_english_structure__1[[#This Row],[Column4]],INDUSTRYGROUP!$C$2:$C$23,INDUSTRYGROUP!$D$2:$D$23,"NONE")</f>
        <v>NONE</v>
      </c>
      <c r="E684" t="str">
        <f>_xlfn.XLOOKUP(LEFT(A684,2),SECTOR!$A$2:$A$88,SECTOR!$A$2:$A$88,"")</f>
        <v/>
      </c>
      <c r="F684" t="str">
        <f>_xlfn.XLOOKUP(LEFT(A684,2),SECTOR!$A$2:$A$88,SECTOR!$B$2:$B$88,"")</f>
        <v/>
      </c>
      <c r="G684" t="str">
        <f>_xlfn.XLOOKUP(LEFT(A684,3),INDUSTRY!$A$2:$A$259,INDUSTRY!$A$2:$A$259,"")</f>
        <v>823</v>
      </c>
      <c r="H684" t="str">
        <f>_xlfn.XLOOKUP(LEFT(A684,3),INDUSTRY!$A$2:$A$259,INDUSTRY!$B$2:$B$259,"")</f>
        <v>Organization of conventions and trade shows</v>
      </c>
      <c r="I684" t="str">
        <f t="shared" si="20"/>
        <v>8230</v>
      </c>
      <c r="J684" t="str">
        <f t="shared" si="21"/>
        <v>Organization of conventions and trade shows</v>
      </c>
    </row>
    <row r="685" spans="1:10" x14ac:dyDescent="0.25">
      <c r="A685" t="s">
        <v>2069</v>
      </c>
      <c r="B685" t="s">
        <v>2070</v>
      </c>
      <c r="C685" t="s">
        <v>1993</v>
      </c>
      <c r="D685" t="str">
        <f>_xlfn.XLOOKUP(ISIC_Rev_5_english_structure__1[[#This Row],[Column4]],INDUSTRYGROUP!$C$2:$C$23,INDUSTRYGROUP!$D$2:$D$23,"NONE")</f>
        <v>NONE</v>
      </c>
      <c r="E685" t="str">
        <f>_xlfn.XLOOKUP(LEFT(A685,2),SECTOR!$A$2:$A$88,SECTOR!$A$2:$A$88,"")</f>
        <v/>
      </c>
      <c r="F685" t="str">
        <f>_xlfn.XLOOKUP(LEFT(A685,2),SECTOR!$A$2:$A$88,SECTOR!$B$2:$B$88,"")</f>
        <v/>
      </c>
      <c r="G685" t="str">
        <f>_xlfn.XLOOKUP(LEFT(A685,3),INDUSTRY!$A$2:$A$259,INDUSTRY!$A$2:$A$259,"")</f>
        <v>824</v>
      </c>
      <c r="H685" t="str">
        <f>_xlfn.XLOOKUP(LEFT(A685,3),INDUSTRY!$A$2:$A$259,INDUSTRY!$B$2:$B$259,"")</f>
        <v>Intermediation service activities for business support activities n.e.c., except financial intermediation</v>
      </c>
      <c r="I685" t="str">
        <f t="shared" si="20"/>
        <v/>
      </c>
      <c r="J685" t="str">
        <f t="shared" si="21"/>
        <v/>
      </c>
    </row>
    <row r="686" spans="1:10" x14ac:dyDescent="0.25">
      <c r="A686" t="s">
        <v>2071</v>
      </c>
      <c r="B686" t="s">
        <v>2070</v>
      </c>
      <c r="C686" t="s">
        <v>1993</v>
      </c>
      <c r="D686" t="str">
        <f>_xlfn.XLOOKUP(ISIC_Rev_5_english_structure__1[[#This Row],[Column4]],INDUSTRYGROUP!$C$2:$C$23,INDUSTRYGROUP!$D$2:$D$23,"NONE")</f>
        <v>NONE</v>
      </c>
      <c r="E686" t="str">
        <f>_xlfn.XLOOKUP(LEFT(A686,2),SECTOR!$A$2:$A$88,SECTOR!$A$2:$A$88,"")</f>
        <v/>
      </c>
      <c r="F686" t="str">
        <f>_xlfn.XLOOKUP(LEFT(A686,2),SECTOR!$A$2:$A$88,SECTOR!$B$2:$B$88,"")</f>
        <v/>
      </c>
      <c r="G686" t="str">
        <f>_xlfn.XLOOKUP(LEFT(A686,3),INDUSTRY!$A$2:$A$259,INDUSTRY!$A$2:$A$259,"")</f>
        <v>824</v>
      </c>
      <c r="H686" t="str">
        <f>_xlfn.XLOOKUP(LEFT(A686,3),INDUSTRY!$A$2:$A$259,INDUSTRY!$B$2:$B$259,"")</f>
        <v>Intermediation service activities for business support activities n.e.c., except financial intermediation</v>
      </c>
      <c r="I686" t="str">
        <f t="shared" si="20"/>
        <v>8240</v>
      </c>
      <c r="J686" t="str">
        <f t="shared" si="21"/>
        <v>Intermediation service activities for business support activities n.e.c., except financial intermediation</v>
      </c>
    </row>
    <row r="687" spans="1:10" x14ac:dyDescent="0.25">
      <c r="A687" t="s">
        <v>2072</v>
      </c>
      <c r="B687" t="s">
        <v>2073</v>
      </c>
      <c r="C687" t="s">
        <v>1993</v>
      </c>
      <c r="D687" t="str">
        <f>_xlfn.XLOOKUP(ISIC_Rev_5_english_structure__1[[#This Row],[Column4]],INDUSTRYGROUP!$C$2:$C$23,INDUSTRYGROUP!$D$2:$D$23,"NONE")</f>
        <v>NONE</v>
      </c>
      <c r="E687" t="str">
        <f>_xlfn.XLOOKUP(LEFT(A687,2),SECTOR!$A$2:$A$88,SECTOR!$A$2:$A$88,"")</f>
        <v/>
      </c>
      <c r="F687" t="str">
        <f>_xlfn.XLOOKUP(LEFT(A687,2),SECTOR!$A$2:$A$88,SECTOR!$B$2:$B$88,"")</f>
        <v/>
      </c>
      <c r="G687" t="str">
        <f>_xlfn.XLOOKUP(LEFT(A687,3),INDUSTRY!$A$2:$A$259,INDUSTRY!$A$2:$A$259,"")</f>
        <v>829</v>
      </c>
      <c r="H687" t="str">
        <f>_xlfn.XLOOKUP(LEFT(A687,3),INDUSTRY!$A$2:$A$259,INDUSTRY!$B$2:$B$259,"")</f>
        <v>Business support service activities n.e.c.</v>
      </c>
      <c r="I687" t="str">
        <f t="shared" si="20"/>
        <v/>
      </c>
      <c r="J687" t="str">
        <f t="shared" si="21"/>
        <v/>
      </c>
    </row>
    <row r="688" spans="1:10" x14ac:dyDescent="0.25">
      <c r="A688" t="s">
        <v>2074</v>
      </c>
      <c r="B688" t="s">
        <v>2075</v>
      </c>
      <c r="C688" t="s">
        <v>1993</v>
      </c>
      <c r="D688" t="str">
        <f>_xlfn.XLOOKUP(ISIC_Rev_5_english_structure__1[[#This Row],[Column4]],INDUSTRYGROUP!$C$2:$C$23,INDUSTRYGROUP!$D$2:$D$23,"NONE")</f>
        <v>NONE</v>
      </c>
      <c r="E688" t="str">
        <f>_xlfn.XLOOKUP(LEFT(A688,2),SECTOR!$A$2:$A$88,SECTOR!$A$2:$A$88,"")</f>
        <v/>
      </c>
      <c r="F688" t="str">
        <f>_xlfn.XLOOKUP(LEFT(A688,2),SECTOR!$A$2:$A$88,SECTOR!$B$2:$B$88,"")</f>
        <v/>
      </c>
      <c r="G688" t="str">
        <f>_xlfn.XLOOKUP(LEFT(A688,3),INDUSTRY!$A$2:$A$259,INDUSTRY!$A$2:$A$259,"")</f>
        <v>829</v>
      </c>
      <c r="H688" t="str">
        <f>_xlfn.XLOOKUP(LEFT(A688,3),INDUSTRY!$A$2:$A$259,INDUSTRY!$B$2:$B$259,"")</f>
        <v>Business support service activities n.e.c.</v>
      </c>
      <c r="I688" t="str">
        <f t="shared" si="20"/>
        <v>8291</v>
      </c>
      <c r="J688" t="str">
        <f t="shared" si="21"/>
        <v>Activities of collection agencies and credit bureaus</v>
      </c>
    </row>
    <row r="689" spans="1:10" x14ac:dyDescent="0.25">
      <c r="A689" t="s">
        <v>2076</v>
      </c>
      <c r="B689" t="s">
        <v>2077</v>
      </c>
      <c r="C689" t="s">
        <v>1993</v>
      </c>
      <c r="D689" t="str">
        <f>_xlfn.XLOOKUP(ISIC_Rev_5_english_structure__1[[#This Row],[Column4]],INDUSTRYGROUP!$C$2:$C$23,INDUSTRYGROUP!$D$2:$D$23,"NONE")</f>
        <v>NONE</v>
      </c>
      <c r="E689" t="str">
        <f>_xlfn.XLOOKUP(LEFT(A689,2),SECTOR!$A$2:$A$88,SECTOR!$A$2:$A$88,"")</f>
        <v/>
      </c>
      <c r="F689" t="str">
        <f>_xlfn.XLOOKUP(LEFT(A689,2),SECTOR!$A$2:$A$88,SECTOR!$B$2:$B$88,"")</f>
        <v/>
      </c>
      <c r="G689" t="str">
        <f>_xlfn.XLOOKUP(LEFT(A689,3),INDUSTRY!$A$2:$A$259,INDUSTRY!$A$2:$A$259,"")</f>
        <v>829</v>
      </c>
      <c r="H689" t="str">
        <f>_xlfn.XLOOKUP(LEFT(A689,3),INDUSTRY!$A$2:$A$259,INDUSTRY!$B$2:$B$259,"")</f>
        <v>Business support service activities n.e.c.</v>
      </c>
      <c r="I689" t="str">
        <f t="shared" si="20"/>
        <v>8292</v>
      </c>
      <c r="J689" t="str">
        <f t="shared" si="21"/>
        <v>Packaging activities</v>
      </c>
    </row>
    <row r="690" spans="1:10" x14ac:dyDescent="0.25">
      <c r="A690" t="s">
        <v>2078</v>
      </c>
      <c r="B690" t="s">
        <v>2079</v>
      </c>
      <c r="C690" t="s">
        <v>1993</v>
      </c>
      <c r="D690" t="str">
        <f>_xlfn.XLOOKUP(ISIC_Rev_5_english_structure__1[[#This Row],[Column4]],INDUSTRYGROUP!$C$2:$C$23,INDUSTRYGROUP!$D$2:$D$23,"NONE")</f>
        <v>NONE</v>
      </c>
      <c r="E690" t="str">
        <f>_xlfn.XLOOKUP(LEFT(A690,2),SECTOR!$A$2:$A$88,SECTOR!$A$2:$A$88,"")</f>
        <v/>
      </c>
      <c r="F690" t="str">
        <f>_xlfn.XLOOKUP(LEFT(A690,2),SECTOR!$A$2:$A$88,SECTOR!$B$2:$B$88,"")</f>
        <v/>
      </c>
      <c r="G690" t="str">
        <f>_xlfn.XLOOKUP(LEFT(A690,3),INDUSTRY!$A$2:$A$259,INDUSTRY!$A$2:$A$259,"")</f>
        <v>829</v>
      </c>
      <c r="H690" t="str">
        <f>_xlfn.XLOOKUP(LEFT(A690,3),INDUSTRY!$A$2:$A$259,INDUSTRY!$B$2:$B$259,"")</f>
        <v>Business support service activities n.e.c.</v>
      </c>
      <c r="I690" t="str">
        <f t="shared" si="20"/>
        <v>8299</v>
      </c>
      <c r="J690" t="str">
        <f t="shared" si="21"/>
        <v>Other business support service activities n.e.c.</v>
      </c>
    </row>
    <row r="691" spans="1:10" x14ac:dyDescent="0.25">
      <c r="A691" t="s">
        <v>2080</v>
      </c>
      <c r="B691" t="s">
        <v>2081</v>
      </c>
      <c r="C691" t="s">
        <v>2080</v>
      </c>
      <c r="D691" t="str">
        <f>_xlfn.XLOOKUP(ISIC_Rev_5_english_structure__1[[#This Row],[Column4]],INDUSTRYGROUP!$C$2:$C$23,INDUSTRYGROUP!$D$2:$D$23,"NONE")</f>
        <v>NONE</v>
      </c>
      <c r="E691" t="str">
        <f>_xlfn.XLOOKUP(LEFT(A691,2),SECTOR!$A$2:$A$88,SECTOR!$A$2:$A$88,"")</f>
        <v>P</v>
      </c>
      <c r="F691" t="str">
        <f>_xlfn.XLOOKUP(LEFT(A691,2),SECTOR!$A$2:$A$88,SECTOR!$B$2:$B$88,"")</f>
        <v>Public administration and defence; compulsory social security</v>
      </c>
      <c r="G691" t="str">
        <f>_xlfn.XLOOKUP(LEFT(A691,3),INDUSTRY!$A$2:$A$259,INDUSTRY!$A$2:$A$259,"")</f>
        <v/>
      </c>
      <c r="H691" t="str">
        <f>_xlfn.XLOOKUP(LEFT(A691,3),INDUSTRY!$A$2:$A$259,INDUSTRY!$B$2:$B$259,"")</f>
        <v/>
      </c>
      <c r="I691" t="str">
        <f t="shared" si="20"/>
        <v/>
      </c>
      <c r="J691" t="str">
        <f t="shared" si="21"/>
        <v/>
      </c>
    </row>
    <row r="692" spans="1:10" x14ac:dyDescent="0.25">
      <c r="A692" t="s">
        <v>2082</v>
      </c>
      <c r="B692" t="s">
        <v>2081</v>
      </c>
      <c r="C692" t="s">
        <v>2080</v>
      </c>
      <c r="D692" t="str">
        <f>_xlfn.XLOOKUP(ISIC_Rev_5_english_structure__1[[#This Row],[Column4]],INDUSTRYGROUP!$C$2:$C$23,INDUSTRYGROUP!$D$2:$D$23,"NONE")</f>
        <v>NONE</v>
      </c>
      <c r="E692" t="str">
        <f>_xlfn.XLOOKUP(LEFT(A692,2),SECTOR!$A$2:$A$88,SECTOR!$A$2:$A$88,"")</f>
        <v/>
      </c>
      <c r="F692" t="str">
        <f>_xlfn.XLOOKUP(LEFT(A692,2),SECTOR!$A$2:$A$88,SECTOR!$B$2:$B$88,"")</f>
        <v/>
      </c>
      <c r="G692" t="str">
        <f>_xlfn.XLOOKUP(LEFT(A692,3),INDUSTRY!$A$2:$A$259,INDUSTRY!$A$2:$A$259,"")</f>
        <v/>
      </c>
      <c r="H692" t="str">
        <f>_xlfn.XLOOKUP(LEFT(A692,3),INDUSTRY!$A$2:$A$259,INDUSTRY!$B$2:$B$259,"")</f>
        <v/>
      </c>
      <c r="I692" t="str">
        <f t="shared" si="20"/>
        <v/>
      </c>
      <c r="J692" t="str">
        <f t="shared" si="21"/>
        <v/>
      </c>
    </row>
    <row r="693" spans="1:10" x14ac:dyDescent="0.25">
      <c r="A693" t="s">
        <v>2083</v>
      </c>
      <c r="B693" t="s">
        <v>2084</v>
      </c>
      <c r="C693" t="s">
        <v>2080</v>
      </c>
      <c r="D693" t="str">
        <f>_xlfn.XLOOKUP(ISIC_Rev_5_english_structure__1[[#This Row],[Column4]],INDUSTRYGROUP!$C$2:$C$23,INDUSTRYGROUP!$D$2:$D$23,"NONE")</f>
        <v>NONE</v>
      </c>
      <c r="E693" t="str">
        <f>_xlfn.XLOOKUP(LEFT(A693,2),SECTOR!$A$2:$A$88,SECTOR!$A$2:$A$88,"")</f>
        <v/>
      </c>
      <c r="F693" t="str">
        <f>_xlfn.XLOOKUP(LEFT(A693,2),SECTOR!$A$2:$A$88,SECTOR!$B$2:$B$88,"")</f>
        <v/>
      </c>
      <c r="G693" t="str">
        <f>_xlfn.XLOOKUP(LEFT(A693,3),INDUSTRY!$A$2:$A$259,INDUSTRY!$A$2:$A$259,"")</f>
        <v>841</v>
      </c>
      <c r="H693" t="str">
        <f>_xlfn.XLOOKUP(LEFT(A693,3),INDUSTRY!$A$2:$A$259,INDUSTRY!$B$2:$B$259,"")</f>
        <v>Administration of the State and the economic, social and environmental policies of the community</v>
      </c>
      <c r="I693" t="str">
        <f t="shared" si="20"/>
        <v/>
      </c>
      <c r="J693" t="str">
        <f t="shared" si="21"/>
        <v/>
      </c>
    </row>
    <row r="694" spans="1:10" x14ac:dyDescent="0.25">
      <c r="A694" t="s">
        <v>2085</v>
      </c>
      <c r="B694" t="s">
        <v>2086</v>
      </c>
      <c r="C694" t="s">
        <v>2080</v>
      </c>
      <c r="D694" t="str">
        <f>_xlfn.XLOOKUP(ISIC_Rev_5_english_structure__1[[#This Row],[Column4]],INDUSTRYGROUP!$C$2:$C$23,INDUSTRYGROUP!$D$2:$D$23,"NONE")</f>
        <v>NONE</v>
      </c>
      <c r="E694" t="str">
        <f>_xlfn.XLOOKUP(LEFT(A694,2),SECTOR!$A$2:$A$88,SECTOR!$A$2:$A$88,"")</f>
        <v/>
      </c>
      <c r="F694" t="str">
        <f>_xlfn.XLOOKUP(LEFT(A694,2),SECTOR!$A$2:$A$88,SECTOR!$B$2:$B$88,"")</f>
        <v/>
      </c>
      <c r="G694" t="str">
        <f>_xlfn.XLOOKUP(LEFT(A694,3),INDUSTRY!$A$2:$A$259,INDUSTRY!$A$2:$A$259,"")</f>
        <v>841</v>
      </c>
      <c r="H694" t="str">
        <f>_xlfn.XLOOKUP(LEFT(A694,3),INDUSTRY!$A$2:$A$259,INDUSTRY!$B$2:$B$259,"")</f>
        <v>Administration of the State and the economic, social and environmental policies of the community</v>
      </c>
      <c r="I694" t="str">
        <f t="shared" si="20"/>
        <v>8411</v>
      </c>
      <c r="J694" t="str">
        <f t="shared" si="21"/>
        <v>General public administration activities</v>
      </c>
    </row>
    <row r="695" spans="1:10" x14ac:dyDescent="0.25">
      <c r="A695" t="s">
        <v>2087</v>
      </c>
      <c r="B695" t="s">
        <v>2088</v>
      </c>
      <c r="C695" t="s">
        <v>2080</v>
      </c>
      <c r="D695" t="str">
        <f>_xlfn.XLOOKUP(ISIC_Rev_5_english_structure__1[[#This Row],[Column4]],INDUSTRYGROUP!$C$2:$C$23,INDUSTRYGROUP!$D$2:$D$23,"NONE")</f>
        <v>NONE</v>
      </c>
      <c r="E695" t="str">
        <f>_xlfn.XLOOKUP(LEFT(A695,2),SECTOR!$A$2:$A$88,SECTOR!$A$2:$A$88,"")</f>
        <v/>
      </c>
      <c r="F695" t="str">
        <f>_xlfn.XLOOKUP(LEFT(A695,2),SECTOR!$A$2:$A$88,SECTOR!$B$2:$B$88,"")</f>
        <v/>
      </c>
      <c r="G695" t="str">
        <f>_xlfn.XLOOKUP(LEFT(A695,3),INDUSTRY!$A$2:$A$259,INDUSTRY!$A$2:$A$259,"")</f>
        <v>841</v>
      </c>
      <c r="H695" t="str">
        <f>_xlfn.XLOOKUP(LEFT(A695,3),INDUSTRY!$A$2:$A$259,INDUSTRY!$B$2:$B$259,"")</f>
        <v>Administration of the State and the economic, social and environmental policies of the community</v>
      </c>
      <c r="I695" t="str">
        <f t="shared" si="20"/>
        <v>8412</v>
      </c>
      <c r="J695" t="str">
        <f t="shared" si="21"/>
        <v>Regulation of the activities of providing health care, education, cultural services and other social services, excluding social security and environment</v>
      </c>
    </row>
    <row r="696" spans="1:10" x14ac:dyDescent="0.25">
      <c r="A696" t="s">
        <v>2089</v>
      </c>
      <c r="B696" t="s">
        <v>2090</v>
      </c>
      <c r="C696" t="s">
        <v>2080</v>
      </c>
      <c r="D696" t="str">
        <f>_xlfn.XLOOKUP(ISIC_Rev_5_english_structure__1[[#This Row],[Column4]],INDUSTRYGROUP!$C$2:$C$23,INDUSTRYGROUP!$D$2:$D$23,"NONE")</f>
        <v>NONE</v>
      </c>
      <c r="E696" t="str">
        <f>_xlfn.XLOOKUP(LEFT(A696,2),SECTOR!$A$2:$A$88,SECTOR!$A$2:$A$88,"")</f>
        <v/>
      </c>
      <c r="F696" t="str">
        <f>_xlfn.XLOOKUP(LEFT(A696,2),SECTOR!$A$2:$A$88,SECTOR!$B$2:$B$88,"")</f>
        <v/>
      </c>
      <c r="G696" t="str">
        <f>_xlfn.XLOOKUP(LEFT(A696,3),INDUSTRY!$A$2:$A$259,INDUSTRY!$A$2:$A$259,"")</f>
        <v>841</v>
      </c>
      <c r="H696" t="str">
        <f>_xlfn.XLOOKUP(LEFT(A696,3),INDUSTRY!$A$2:$A$259,INDUSTRY!$B$2:$B$259,"")</f>
        <v>Administration of the State and the economic, social and environmental policies of the community</v>
      </c>
      <c r="I696" t="str">
        <f t="shared" si="20"/>
        <v>8413</v>
      </c>
      <c r="J696" t="str">
        <f t="shared" si="21"/>
        <v>Regulation of the activities of providing environmental services</v>
      </c>
    </row>
    <row r="697" spans="1:10" x14ac:dyDescent="0.25">
      <c r="A697" t="s">
        <v>2091</v>
      </c>
      <c r="B697" t="s">
        <v>2092</v>
      </c>
      <c r="C697" t="s">
        <v>2080</v>
      </c>
      <c r="D697" t="str">
        <f>_xlfn.XLOOKUP(ISIC_Rev_5_english_structure__1[[#This Row],[Column4]],INDUSTRYGROUP!$C$2:$C$23,INDUSTRYGROUP!$D$2:$D$23,"NONE")</f>
        <v>NONE</v>
      </c>
      <c r="E697" t="str">
        <f>_xlfn.XLOOKUP(LEFT(A697,2),SECTOR!$A$2:$A$88,SECTOR!$A$2:$A$88,"")</f>
        <v/>
      </c>
      <c r="F697" t="str">
        <f>_xlfn.XLOOKUP(LEFT(A697,2),SECTOR!$A$2:$A$88,SECTOR!$B$2:$B$88,"")</f>
        <v/>
      </c>
      <c r="G697" t="str">
        <f>_xlfn.XLOOKUP(LEFT(A697,3),INDUSTRY!$A$2:$A$259,INDUSTRY!$A$2:$A$259,"")</f>
        <v>841</v>
      </c>
      <c r="H697" t="str">
        <f>_xlfn.XLOOKUP(LEFT(A697,3),INDUSTRY!$A$2:$A$259,INDUSTRY!$B$2:$B$259,"")</f>
        <v>Administration of the State and the economic, social and environmental policies of the community</v>
      </c>
      <c r="I697" t="str">
        <f t="shared" si="20"/>
        <v>8414</v>
      </c>
      <c r="J697" t="str">
        <f t="shared" si="21"/>
        <v>Regulation of and contribution to more efficient operation of businesses</v>
      </c>
    </row>
    <row r="698" spans="1:10" x14ac:dyDescent="0.25">
      <c r="A698" t="s">
        <v>2093</v>
      </c>
      <c r="B698" t="s">
        <v>2094</v>
      </c>
      <c r="C698" t="s">
        <v>2080</v>
      </c>
      <c r="D698" t="str">
        <f>_xlfn.XLOOKUP(ISIC_Rev_5_english_structure__1[[#This Row],[Column4]],INDUSTRYGROUP!$C$2:$C$23,INDUSTRYGROUP!$D$2:$D$23,"NONE")</f>
        <v>NONE</v>
      </c>
      <c r="E698" t="str">
        <f>_xlfn.XLOOKUP(LEFT(A698,2),SECTOR!$A$2:$A$88,SECTOR!$A$2:$A$88,"")</f>
        <v/>
      </c>
      <c r="F698" t="str">
        <f>_xlfn.XLOOKUP(LEFT(A698,2),SECTOR!$A$2:$A$88,SECTOR!$B$2:$B$88,"")</f>
        <v/>
      </c>
      <c r="G698" t="str">
        <f>_xlfn.XLOOKUP(LEFT(A698,3),INDUSTRY!$A$2:$A$259,INDUSTRY!$A$2:$A$259,"")</f>
        <v>842</v>
      </c>
      <c r="H698" t="str">
        <f>_xlfn.XLOOKUP(LEFT(A698,3),INDUSTRY!$A$2:$A$259,INDUSTRY!$B$2:$B$259,"")</f>
        <v>Provision of services to the community as a whole</v>
      </c>
      <c r="I698" t="str">
        <f t="shared" si="20"/>
        <v/>
      </c>
      <c r="J698" t="str">
        <f t="shared" si="21"/>
        <v/>
      </c>
    </row>
    <row r="699" spans="1:10" x14ac:dyDescent="0.25">
      <c r="A699" t="s">
        <v>2095</v>
      </c>
      <c r="B699" t="s">
        <v>2096</v>
      </c>
      <c r="C699" t="s">
        <v>2080</v>
      </c>
      <c r="D699" t="str">
        <f>_xlfn.XLOOKUP(ISIC_Rev_5_english_structure__1[[#This Row],[Column4]],INDUSTRYGROUP!$C$2:$C$23,INDUSTRYGROUP!$D$2:$D$23,"NONE")</f>
        <v>NONE</v>
      </c>
      <c r="E699" t="str">
        <f>_xlfn.XLOOKUP(LEFT(A699,2),SECTOR!$A$2:$A$88,SECTOR!$A$2:$A$88,"")</f>
        <v/>
      </c>
      <c r="F699" t="str">
        <f>_xlfn.XLOOKUP(LEFT(A699,2),SECTOR!$A$2:$A$88,SECTOR!$B$2:$B$88,"")</f>
        <v/>
      </c>
      <c r="G699" t="str">
        <f>_xlfn.XLOOKUP(LEFT(A699,3),INDUSTRY!$A$2:$A$259,INDUSTRY!$A$2:$A$259,"")</f>
        <v>842</v>
      </c>
      <c r="H699" t="str">
        <f>_xlfn.XLOOKUP(LEFT(A699,3),INDUSTRY!$A$2:$A$259,INDUSTRY!$B$2:$B$259,"")</f>
        <v>Provision of services to the community as a whole</v>
      </c>
      <c r="I699" t="str">
        <f t="shared" si="20"/>
        <v>8421</v>
      </c>
      <c r="J699" t="str">
        <f t="shared" si="21"/>
        <v>Foreign affairs</v>
      </c>
    </row>
    <row r="700" spans="1:10" x14ac:dyDescent="0.25">
      <c r="A700" t="s">
        <v>2097</v>
      </c>
      <c r="B700" t="s">
        <v>2098</v>
      </c>
      <c r="C700" t="s">
        <v>2080</v>
      </c>
      <c r="D700" t="str">
        <f>_xlfn.XLOOKUP(ISIC_Rev_5_english_structure__1[[#This Row],[Column4]],INDUSTRYGROUP!$C$2:$C$23,INDUSTRYGROUP!$D$2:$D$23,"NONE")</f>
        <v>NONE</v>
      </c>
      <c r="E700" t="str">
        <f>_xlfn.XLOOKUP(LEFT(A700,2),SECTOR!$A$2:$A$88,SECTOR!$A$2:$A$88,"")</f>
        <v/>
      </c>
      <c r="F700" t="str">
        <f>_xlfn.XLOOKUP(LEFT(A700,2),SECTOR!$A$2:$A$88,SECTOR!$B$2:$B$88,"")</f>
        <v/>
      </c>
      <c r="G700" t="str">
        <f>_xlfn.XLOOKUP(LEFT(A700,3),INDUSTRY!$A$2:$A$259,INDUSTRY!$A$2:$A$259,"")</f>
        <v>842</v>
      </c>
      <c r="H700" t="str">
        <f>_xlfn.XLOOKUP(LEFT(A700,3),INDUSTRY!$A$2:$A$259,INDUSTRY!$B$2:$B$259,"")</f>
        <v>Provision of services to the community as a whole</v>
      </c>
      <c r="I700" t="str">
        <f t="shared" si="20"/>
        <v>8422</v>
      </c>
      <c r="J700" t="str">
        <f t="shared" si="21"/>
        <v>Defence activities</v>
      </c>
    </row>
    <row r="701" spans="1:10" x14ac:dyDescent="0.25">
      <c r="A701" t="s">
        <v>2099</v>
      </c>
      <c r="B701" t="s">
        <v>2100</v>
      </c>
      <c r="C701" t="s">
        <v>2080</v>
      </c>
      <c r="D701" t="str">
        <f>_xlfn.XLOOKUP(ISIC_Rev_5_english_structure__1[[#This Row],[Column4]],INDUSTRYGROUP!$C$2:$C$23,INDUSTRYGROUP!$D$2:$D$23,"NONE")</f>
        <v>NONE</v>
      </c>
      <c r="E701" t="str">
        <f>_xlfn.XLOOKUP(LEFT(A701,2),SECTOR!$A$2:$A$88,SECTOR!$A$2:$A$88,"")</f>
        <v/>
      </c>
      <c r="F701" t="str">
        <f>_xlfn.XLOOKUP(LEFT(A701,2),SECTOR!$A$2:$A$88,SECTOR!$B$2:$B$88,"")</f>
        <v/>
      </c>
      <c r="G701" t="str">
        <f>_xlfn.XLOOKUP(LEFT(A701,3),INDUSTRY!$A$2:$A$259,INDUSTRY!$A$2:$A$259,"")</f>
        <v>842</v>
      </c>
      <c r="H701" t="str">
        <f>_xlfn.XLOOKUP(LEFT(A701,3),INDUSTRY!$A$2:$A$259,INDUSTRY!$B$2:$B$259,"")</f>
        <v>Provision of services to the community as a whole</v>
      </c>
      <c r="I701" t="str">
        <f t="shared" si="20"/>
        <v>8423</v>
      </c>
      <c r="J701" t="str">
        <f t="shared" si="21"/>
        <v>Public order and safety activities</v>
      </c>
    </row>
    <row r="702" spans="1:10" x14ac:dyDescent="0.25">
      <c r="A702" t="s">
        <v>2101</v>
      </c>
      <c r="B702" t="s">
        <v>2102</v>
      </c>
      <c r="C702" t="s">
        <v>2080</v>
      </c>
      <c r="D702" t="str">
        <f>_xlfn.XLOOKUP(ISIC_Rev_5_english_structure__1[[#This Row],[Column4]],INDUSTRYGROUP!$C$2:$C$23,INDUSTRYGROUP!$D$2:$D$23,"NONE")</f>
        <v>NONE</v>
      </c>
      <c r="E702" t="str">
        <f>_xlfn.XLOOKUP(LEFT(A702,2),SECTOR!$A$2:$A$88,SECTOR!$A$2:$A$88,"")</f>
        <v/>
      </c>
      <c r="F702" t="str">
        <f>_xlfn.XLOOKUP(LEFT(A702,2),SECTOR!$A$2:$A$88,SECTOR!$B$2:$B$88,"")</f>
        <v/>
      </c>
      <c r="G702" t="str">
        <f>_xlfn.XLOOKUP(LEFT(A702,3),INDUSTRY!$A$2:$A$259,INDUSTRY!$A$2:$A$259,"")</f>
        <v>843</v>
      </c>
      <c r="H702" t="str">
        <f>_xlfn.XLOOKUP(LEFT(A702,3),INDUSTRY!$A$2:$A$259,INDUSTRY!$B$2:$B$259,"")</f>
        <v>Compulsory social security activities</v>
      </c>
      <c r="I702" t="str">
        <f t="shared" si="20"/>
        <v/>
      </c>
      <c r="J702" t="str">
        <f t="shared" si="21"/>
        <v/>
      </c>
    </row>
    <row r="703" spans="1:10" x14ac:dyDescent="0.25">
      <c r="A703" t="s">
        <v>2103</v>
      </c>
      <c r="B703" t="s">
        <v>2102</v>
      </c>
      <c r="C703" t="s">
        <v>2080</v>
      </c>
      <c r="D703" t="str">
        <f>_xlfn.XLOOKUP(ISIC_Rev_5_english_structure__1[[#This Row],[Column4]],INDUSTRYGROUP!$C$2:$C$23,INDUSTRYGROUP!$D$2:$D$23,"NONE")</f>
        <v>NONE</v>
      </c>
      <c r="E703" t="str">
        <f>_xlfn.XLOOKUP(LEFT(A703,2),SECTOR!$A$2:$A$88,SECTOR!$A$2:$A$88,"")</f>
        <v/>
      </c>
      <c r="F703" t="str">
        <f>_xlfn.XLOOKUP(LEFT(A703,2),SECTOR!$A$2:$A$88,SECTOR!$B$2:$B$88,"")</f>
        <v/>
      </c>
      <c r="G703" t="str">
        <f>_xlfn.XLOOKUP(LEFT(A703,3),INDUSTRY!$A$2:$A$259,INDUSTRY!$A$2:$A$259,"")</f>
        <v>843</v>
      </c>
      <c r="H703" t="str">
        <f>_xlfn.XLOOKUP(LEFT(A703,3),INDUSTRY!$A$2:$A$259,INDUSTRY!$B$2:$B$259,"")</f>
        <v>Compulsory social security activities</v>
      </c>
      <c r="I703" t="str">
        <f t="shared" si="20"/>
        <v>8430</v>
      </c>
      <c r="J703" t="str">
        <f t="shared" si="21"/>
        <v>Compulsory social security activities</v>
      </c>
    </row>
    <row r="704" spans="1:10" x14ac:dyDescent="0.25">
      <c r="A704" t="s">
        <v>2104</v>
      </c>
      <c r="B704" t="s">
        <v>2105</v>
      </c>
      <c r="C704" t="s">
        <v>2104</v>
      </c>
      <c r="D704" t="str">
        <f>_xlfn.XLOOKUP(ISIC_Rev_5_english_structure__1[[#This Row],[Column4]],INDUSTRYGROUP!$C$2:$C$23,INDUSTRYGROUP!$D$2:$D$23,"NONE")</f>
        <v>NONE</v>
      </c>
      <c r="E704" t="str">
        <f>_xlfn.XLOOKUP(LEFT(A704,2),SECTOR!$A$2:$A$88,SECTOR!$A$2:$A$88,"")</f>
        <v>Q</v>
      </c>
      <c r="F704" t="str">
        <f>_xlfn.XLOOKUP(LEFT(A704,2),SECTOR!$A$2:$A$88,SECTOR!$B$2:$B$88,"")</f>
        <v>Education</v>
      </c>
      <c r="G704" t="str">
        <f>_xlfn.XLOOKUP(LEFT(A704,3),INDUSTRY!$A$2:$A$259,INDUSTRY!$A$2:$A$259,"")</f>
        <v/>
      </c>
      <c r="H704" t="str">
        <f>_xlfn.XLOOKUP(LEFT(A704,3),INDUSTRY!$A$2:$A$259,INDUSTRY!$B$2:$B$259,"")</f>
        <v/>
      </c>
      <c r="I704" t="str">
        <f t="shared" si="20"/>
        <v/>
      </c>
      <c r="J704" t="str">
        <f t="shared" si="21"/>
        <v/>
      </c>
    </row>
    <row r="705" spans="1:10" x14ac:dyDescent="0.25">
      <c r="A705" t="s">
        <v>2106</v>
      </c>
      <c r="B705" t="s">
        <v>2105</v>
      </c>
      <c r="C705" t="s">
        <v>2104</v>
      </c>
      <c r="D705" t="str">
        <f>_xlfn.XLOOKUP(ISIC_Rev_5_english_structure__1[[#This Row],[Column4]],INDUSTRYGROUP!$C$2:$C$23,INDUSTRYGROUP!$D$2:$D$23,"NONE")</f>
        <v>NONE</v>
      </c>
      <c r="E705" t="str">
        <f>_xlfn.XLOOKUP(LEFT(A705,2),SECTOR!$A$2:$A$88,SECTOR!$A$2:$A$88,"")</f>
        <v/>
      </c>
      <c r="F705" t="str">
        <f>_xlfn.XLOOKUP(LEFT(A705,2),SECTOR!$A$2:$A$88,SECTOR!$B$2:$B$88,"")</f>
        <v/>
      </c>
      <c r="G705" t="str">
        <f>_xlfn.XLOOKUP(LEFT(A705,3),INDUSTRY!$A$2:$A$259,INDUSTRY!$A$2:$A$259,"")</f>
        <v/>
      </c>
      <c r="H705" t="str">
        <f>_xlfn.XLOOKUP(LEFT(A705,3),INDUSTRY!$A$2:$A$259,INDUSTRY!$B$2:$B$259,"")</f>
        <v/>
      </c>
      <c r="I705" t="str">
        <f t="shared" si="20"/>
        <v/>
      </c>
      <c r="J705" t="str">
        <f t="shared" si="21"/>
        <v/>
      </c>
    </row>
    <row r="706" spans="1:10" x14ac:dyDescent="0.25">
      <c r="A706" t="s">
        <v>2107</v>
      </c>
      <c r="B706" t="s">
        <v>2108</v>
      </c>
      <c r="C706" t="s">
        <v>2104</v>
      </c>
      <c r="D706" t="str">
        <f>_xlfn.XLOOKUP(ISIC_Rev_5_english_structure__1[[#This Row],[Column4]],INDUSTRYGROUP!$C$2:$C$23,INDUSTRYGROUP!$D$2:$D$23,"NONE")</f>
        <v>NONE</v>
      </c>
      <c r="E706" t="str">
        <f>_xlfn.XLOOKUP(LEFT(A706,2),SECTOR!$A$2:$A$88,SECTOR!$A$2:$A$88,"")</f>
        <v/>
      </c>
      <c r="F706" t="str">
        <f>_xlfn.XLOOKUP(LEFT(A706,2),SECTOR!$A$2:$A$88,SECTOR!$B$2:$B$88,"")</f>
        <v/>
      </c>
      <c r="G706" t="str">
        <f>_xlfn.XLOOKUP(LEFT(A706,3),INDUSTRY!$A$2:$A$259,INDUSTRY!$A$2:$A$259,"")</f>
        <v>851</v>
      </c>
      <c r="H706" t="str">
        <f>_xlfn.XLOOKUP(LEFT(A706,3),INDUSTRY!$A$2:$A$259,INDUSTRY!$B$2:$B$259,"")</f>
        <v xml:space="preserve">Pre-primary education </v>
      </c>
      <c r="I706" t="str">
        <f t="shared" ref="I706:I769" si="22">IF(LEN(A706)=4,A706,"")</f>
        <v/>
      </c>
      <c r="J706" t="str">
        <f t="shared" ref="J706:J769" si="23">IF(LEN(A706)=4,B706,"")</f>
        <v/>
      </c>
    </row>
    <row r="707" spans="1:10" x14ac:dyDescent="0.25">
      <c r="A707" t="s">
        <v>2109</v>
      </c>
      <c r="B707" t="s">
        <v>2108</v>
      </c>
      <c r="C707" t="s">
        <v>2104</v>
      </c>
      <c r="D707" t="str">
        <f>_xlfn.XLOOKUP(ISIC_Rev_5_english_structure__1[[#This Row],[Column4]],INDUSTRYGROUP!$C$2:$C$23,INDUSTRYGROUP!$D$2:$D$23,"NONE")</f>
        <v>NONE</v>
      </c>
      <c r="E707" t="str">
        <f>_xlfn.XLOOKUP(LEFT(A707,2),SECTOR!$A$2:$A$88,SECTOR!$A$2:$A$88,"")</f>
        <v/>
      </c>
      <c r="F707" t="str">
        <f>_xlfn.XLOOKUP(LEFT(A707,2),SECTOR!$A$2:$A$88,SECTOR!$B$2:$B$88,"")</f>
        <v/>
      </c>
      <c r="G707" t="str">
        <f>_xlfn.XLOOKUP(LEFT(A707,3),INDUSTRY!$A$2:$A$259,INDUSTRY!$A$2:$A$259,"")</f>
        <v>851</v>
      </c>
      <c r="H707" t="str">
        <f>_xlfn.XLOOKUP(LEFT(A707,3),INDUSTRY!$A$2:$A$259,INDUSTRY!$B$2:$B$259,"")</f>
        <v xml:space="preserve">Pre-primary education </v>
      </c>
      <c r="I707" t="str">
        <f t="shared" si="22"/>
        <v>8510</v>
      </c>
      <c r="J707" t="str">
        <f t="shared" si="23"/>
        <v xml:space="preserve">Pre-primary education </v>
      </c>
    </row>
    <row r="708" spans="1:10" x14ac:dyDescent="0.25">
      <c r="A708" t="s">
        <v>2110</v>
      </c>
      <c r="B708" t="s">
        <v>2111</v>
      </c>
      <c r="C708" t="s">
        <v>2104</v>
      </c>
      <c r="D708" t="str">
        <f>_xlfn.XLOOKUP(ISIC_Rev_5_english_structure__1[[#This Row],[Column4]],INDUSTRYGROUP!$C$2:$C$23,INDUSTRYGROUP!$D$2:$D$23,"NONE")</f>
        <v>NONE</v>
      </c>
      <c r="E708" t="str">
        <f>_xlfn.XLOOKUP(LEFT(A708,2),SECTOR!$A$2:$A$88,SECTOR!$A$2:$A$88,"")</f>
        <v/>
      </c>
      <c r="F708" t="str">
        <f>_xlfn.XLOOKUP(LEFT(A708,2),SECTOR!$A$2:$A$88,SECTOR!$B$2:$B$88,"")</f>
        <v/>
      </c>
      <c r="G708" t="str">
        <f>_xlfn.XLOOKUP(LEFT(A708,3),INDUSTRY!$A$2:$A$259,INDUSTRY!$A$2:$A$259,"")</f>
        <v>852</v>
      </c>
      <c r="H708" t="str">
        <f>_xlfn.XLOOKUP(LEFT(A708,3),INDUSTRY!$A$2:$A$259,INDUSTRY!$B$2:$B$259,"")</f>
        <v xml:space="preserve">Primary education </v>
      </c>
      <c r="I708" t="str">
        <f t="shared" si="22"/>
        <v/>
      </c>
      <c r="J708" t="str">
        <f t="shared" si="23"/>
        <v/>
      </c>
    </row>
    <row r="709" spans="1:10" x14ac:dyDescent="0.25">
      <c r="A709" t="s">
        <v>2112</v>
      </c>
      <c r="B709" t="s">
        <v>2111</v>
      </c>
      <c r="C709" t="s">
        <v>2104</v>
      </c>
      <c r="D709" t="str">
        <f>_xlfn.XLOOKUP(ISIC_Rev_5_english_structure__1[[#This Row],[Column4]],INDUSTRYGROUP!$C$2:$C$23,INDUSTRYGROUP!$D$2:$D$23,"NONE")</f>
        <v>NONE</v>
      </c>
      <c r="E709" t="str">
        <f>_xlfn.XLOOKUP(LEFT(A709,2),SECTOR!$A$2:$A$88,SECTOR!$A$2:$A$88,"")</f>
        <v/>
      </c>
      <c r="F709" t="str">
        <f>_xlfn.XLOOKUP(LEFT(A709,2),SECTOR!$A$2:$A$88,SECTOR!$B$2:$B$88,"")</f>
        <v/>
      </c>
      <c r="G709" t="str">
        <f>_xlfn.XLOOKUP(LEFT(A709,3),INDUSTRY!$A$2:$A$259,INDUSTRY!$A$2:$A$259,"")</f>
        <v>852</v>
      </c>
      <c r="H709" t="str">
        <f>_xlfn.XLOOKUP(LEFT(A709,3),INDUSTRY!$A$2:$A$259,INDUSTRY!$B$2:$B$259,"")</f>
        <v xml:space="preserve">Primary education </v>
      </c>
      <c r="I709" t="str">
        <f t="shared" si="22"/>
        <v>8520</v>
      </c>
      <c r="J709" t="str">
        <f t="shared" si="23"/>
        <v xml:space="preserve">Primary education </v>
      </c>
    </row>
    <row r="710" spans="1:10" x14ac:dyDescent="0.25">
      <c r="A710" t="s">
        <v>2113</v>
      </c>
      <c r="B710" t="s">
        <v>2114</v>
      </c>
      <c r="C710" t="s">
        <v>2104</v>
      </c>
      <c r="D710" t="str">
        <f>_xlfn.XLOOKUP(ISIC_Rev_5_english_structure__1[[#This Row],[Column4]],INDUSTRYGROUP!$C$2:$C$23,INDUSTRYGROUP!$D$2:$D$23,"NONE")</f>
        <v>NONE</v>
      </c>
      <c r="E710" t="str">
        <f>_xlfn.XLOOKUP(LEFT(A710,2),SECTOR!$A$2:$A$88,SECTOR!$A$2:$A$88,"")</f>
        <v/>
      </c>
      <c r="F710" t="str">
        <f>_xlfn.XLOOKUP(LEFT(A710,2),SECTOR!$A$2:$A$88,SECTOR!$B$2:$B$88,"")</f>
        <v/>
      </c>
      <c r="G710" t="str">
        <f>_xlfn.XLOOKUP(LEFT(A710,3),INDUSTRY!$A$2:$A$259,INDUSTRY!$A$2:$A$259,"")</f>
        <v>853</v>
      </c>
      <c r="H710" t="str">
        <f>_xlfn.XLOOKUP(LEFT(A710,3),INDUSTRY!$A$2:$A$259,INDUSTRY!$B$2:$B$259,"")</f>
        <v>Secondary and post-secondary non-tertiary education</v>
      </c>
      <c r="I710" t="str">
        <f t="shared" si="22"/>
        <v/>
      </c>
      <c r="J710" t="str">
        <f t="shared" si="23"/>
        <v/>
      </c>
    </row>
    <row r="711" spans="1:10" x14ac:dyDescent="0.25">
      <c r="A711" t="s">
        <v>2115</v>
      </c>
      <c r="B711" t="s">
        <v>2116</v>
      </c>
      <c r="C711" t="s">
        <v>2104</v>
      </c>
      <c r="D711" t="str">
        <f>_xlfn.XLOOKUP(ISIC_Rev_5_english_structure__1[[#This Row],[Column4]],INDUSTRYGROUP!$C$2:$C$23,INDUSTRYGROUP!$D$2:$D$23,"NONE")</f>
        <v>NONE</v>
      </c>
      <c r="E711" t="str">
        <f>_xlfn.XLOOKUP(LEFT(A711,2),SECTOR!$A$2:$A$88,SECTOR!$A$2:$A$88,"")</f>
        <v/>
      </c>
      <c r="F711" t="str">
        <f>_xlfn.XLOOKUP(LEFT(A711,2),SECTOR!$A$2:$A$88,SECTOR!$B$2:$B$88,"")</f>
        <v/>
      </c>
      <c r="G711" t="str">
        <f>_xlfn.XLOOKUP(LEFT(A711,3),INDUSTRY!$A$2:$A$259,INDUSTRY!$A$2:$A$259,"")</f>
        <v>853</v>
      </c>
      <c r="H711" t="str">
        <f>_xlfn.XLOOKUP(LEFT(A711,3),INDUSTRY!$A$2:$A$259,INDUSTRY!$B$2:$B$259,"")</f>
        <v>Secondary and post-secondary non-tertiary education</v>
      </c>
      <c r="I711" t="str">
        <f t="shared" si="22"/>
        <v>8531</v>
      </c>
      <c r="J711" t="str">
        <f t="shared" si="23"/>
        <v xml:space="preserve">General secondary education </v>
      </c>
    </row>
    <row r="712" spans="1:10" x14ac:dyDescent="0.25">
      <c r="A712" t="s">
        <v>2117</v>
      </c>
      <c r="B712" t="s">
        <v>2118</v>
      </c>
      <c r="C712" t="s">
        <v>2104</v>
      </c>
      <c r="D712" t="str">
        <f>_xlfn.XLOOKUP(ISIC_Rev_5_english_structure__1[[#This Row],[Column4]],INDUSTRYGROUP!$C$2:$C$23,INDUSTRYGROUP!$D$2:$D$23,"NONE")</f>
        <v>NONE</v>
      </c>
      <c r="E712" t="str">
        <f>_xlfn.XLOOKUP(LEFT(A712,2),SECTOR!$A$2:$A$88,SECTOR!$A$2:$A$88,"")</f>
        <v/>
      </c>
      <c r="F712" t="str">
        <f>_xlfn.XLOOKUP(LEFT(A712,2),SECTOR!$A$2:$A$88,SECTOR!$B$2:$B$88,"")</f>
        <v/>
      </c>
      <c r="G712" t="str">
        <f>_xlfn.XLOOKUP(LEFT(A712,3),INDUSTRY!$A$2:$A$259,INDUSTRY!$A$2:$A$259,"")</f>
        <v>853</v>
      </c>
      <c r="H712" t="str">
        <f>_xlfn.XLOOKUP(LEFT(A712,3),INDUSTRY!$A$2:$A$259,INDUSTRY!$B$2:$B$259,"")</f>
        <v>Secondary and post-secondary non-tertiary education</v>
      </c>
      <c r="I712" t="str">
        <f t="shared" si="22"/>
        <v>8532</v>
      </c>
      <c r="J712" t="str">
        <f t="shared" si="23"/>
        <v>Vocational secondary education</v>
      </c>
    </row>
    <row r="713" spans="1:10" x14ac:dyDescent="0.25">
      <c r="A713" t="s">
        <v>2119</v>
      </c>
      <c r="B713" t="s">
        <v>2120</v>
      </c>
      <c r="C713" t="s">
        <v>2104</v>
      </c>
      <c r="D713" t="str">
        <f>_xlfn.XLOOKUP(ISIC_Rev_5_english_structure__1[[#This Row],[Column4]],INDUSTRYGROUP!$C$2:$C$23,INDUSTRYGROUP!$D$2:$D$23,"NONE")</f>
        <v>NONE</v>
      </c>
      <c r="E713" t="str">
        <f>_xlfn.XLOOKUP(LEFT(A713,2),SECTOR!$A$2:$A$88,SECTOR!$A$2:$A$88,"")</f>
        <v/>
      </c>
      <c r="F713" t="str">
        <f>_xlfn.XLOOKUP(LEFT(A713,2),SECTOR!$A$2:$A$88,SECTOR!$B$2:$B$88,"")</f>
        <v/>
      </c>
      <c r="G713" t="str">
        <f>_xlfn.XLOOKUP(LEFT(A713,3),INDUSTRY!$A$2:$A$259,INDUSTRY!$A$2:$A$259,"")</f>
        <v>853</v>
      </c>
      <c r="H713" t="str">
        <f>_xlfn.XLOOKUP(LEFT(A713,3),INDUSTRY!$A$2:$A$259,INDUSTRY!$B$2:$B$259,"")</f>
        <v>Secondary and post-secondary non-tertiary education</v>
      </c>
      <c r="I713" t="str">
        <f t="shared" si="22"/>
        <v>8533</v>
      </c>
      <c r="J713" t="str">
        <f t="shared" si="23"/>
        <v xml:space="preserve">Post-secondary non-tertiary education </v>
      </c>
    </row>
    <row r="714" spans="1:10" x14ac:dyDescent="0.25">
      <c r="A714" t="s">
        <v>2121</v>
      </c>
      <c r="B714" t="s">
        <v>2122</v>
      </c>
      <c r="C714" t="s">
        <v>2104</v>
      </c>
      <c r="D714" t="str">
        <f>_xlfn.XLOOKUP(ISIC_Rev_5_english_structure__1[[#This Row],[Column4]],INDUSTRYGROUP!$C$2:$C$23,INDUSTRYGROUP!$D$2:$D$23,"NONE")</f>
        <v>NONE</v>
      </c>
      <c r="E714" t="str">
        <f>_xlfn.XLOOKUP(LEFT(A714,2),SECTOR!$A$2:$A$88,SECTOR!$A$2:$A$88,"")</f>
        <v/>
      </c>
      <c r="F714" t="str">
        <f>_xlfn.XLOOKUP(LEFT(A714,2),SECTOR!$A$2:$A$88,SECTOR!$B$2:$B$88,"")</f>
        <v/>
      </c>
      <c r="G714" t="str">
        <f>_xlfn.XLOOKUP(LEFT(A714,3),INDUSTRY!$A$2:$A$259,INDUSTRY!$A$2:$A$259,"")</f>
        <v>854</v>
      </c>
      <c r="H714" t="str">
        <f>_xlfn.XLOOKUP(LEFT(A714,3),INDUSTRY!$A$2:$A$259,INDUSTRY!$B$2:$B$259,"")</f>
        <v>Tertiary education</v>
      </c>
      <c r="I714" t="str">
        <f t="shared" si="22"/>
        <v/>
      </c>
      <c r="J714" t="str">
        <f t="shared" si="23"/>
        <v/>
      </c>
    </row>
    <row r="715" spans="1:10" x14ac:dyDescent="0.25">
      <c r="A715" t="s">
        <v>2123</v>
      </c>
      <c r="B715" t="s">
        <v>2122</v>
      </c>
      <c r="C715" t="s">
        <v>2104</v>
      </c>
      <c r="D715" t="str">
        <f>_xlfn.XLOOKUP(ISIC_Rev_5_english_structure__1[[#This Row],[Column4]],INDUSTRYGROUP!$C$2:$C$23,INDUSTRYGROUP!$D$2:$D$23,"NONE")</f>
        <v>NONE</v>
      </c>
      <c r="E715" t="str">
        <f>_xlfn.XLOOKUP(LEFT(A715,2),SECTOR!$A$2:$A$88,SECTOR!$A$2:$A$88,"")</f>
        <v/>
      </c>
      <c r="F715" t="str">
        <f>_xlfn.XLOOKUP(LEFT(A715,2),SECTOR!$A$2:$A$88,SECTOR!$B$2:$B$88,"")</f>
        <v/>
      </c>
      <c r="G715" t="str">
        <f>_xlfn.XLOOKUP(LEFT(A715,3),INDUSTRY!$A$2:$A$259,INDUSTRY!$A$2:$A$259,"")</f>
        <v>854</v>
      </c>
      <c r="H715" t="str">
        <f>_xlfn.XLOOKUP(LEFT(A715,3),INDUSTRY!$A$2:$A$259,INDUSTRY!$B$2:$B$259,"")</f>
        <v>Tertiary education</v>
      </c>
      <c r="I715" t="str">
        <f t="shared" si="22"/>
        <v>8540</v>
      </c>
      <c r="J715" t="str">
        <f t="shared" si="23"/>
        <v>Tertiary education</v>
      </c>
    </row>
    <row r="716" spans="1:10" x14ac:dyDescent="0.25">
      <c r="A716" t="s">
        <v>2124</v>
      </c>
      <c r="B716" t="s">
        <v>2125</v>
      </c>
      <c r="C716" t="s">
        <v>2104</v>
      </c>
      <c r="D716" t="str">
        <f>_xlfn.XLOOKUP(ISIC_Rev_5_english_structure__1[[#This Row],[Column4]],INDUSTRYGROUP!$C$2:$C$23,INDUSTRYGROUP!$D$2:$D$23,"NONE")</f>
        <v>NONE</v>
      </c>
      <c r="E716" t="str">
        <f>_xlfn.XLOOKUP(LEFT(A716,2),SECTOR!$A$2:$A$88,SECTOR!$A$2:$A$88,"")</f>
        <v/>
      </c>
      <c r="F716" t="str">
        <f>_xlfn.XLOOKUP(LEFT(A716,2),SECTOR!$A$2:$A$88,SECTOR!$B$2:$B$88,"")</f>
        <v/>
      </c>
      <c r="G716" t="str">
        <f>_xlfn.XLOOKUP(LEFT(A716,3),INDUSTRY!$A$2:$A$259,INDUSTRY!$A$2:$A$259,"")</f>
        <v>855</v>
      </c>
      <c r="H716" t="str">
        <f>_xlfn.XLOOKUP(LEFT(A716,3),INDUSTRY!$A$2:$A$259,INDUSTRY!$B$2:$B$259,"")</f>
        <v>Other education</v>
      </c>
      <c r="I716" t="str">
        <f t="shared" si="22"/>
        <v/>
      </c>
      <c r="J716" t="str">
        <f t="shared" si="23"/>
        <v/>
      </c>
    </row>
    <row r="717" spans="1:10" x14ac:dyDescent="0.25">
      <c r="A717" t="s">
        <v>2126</v>
      </c>
      <c r="B717" t="s">
        <v>2127</v>
      </c>
      <c r="C717" t="s">
        <v>2104</v>
      </c>
      <c r="D717" t="str">
        <f>_xlfn.XLOOKUP(ISIC_Rev_5_english_structure__1[[#This Row],[Column4]],INDUSTRYGROUP!$C$2:$C$23,INDUSTRYGROUP!$D$2:$D$23,"NONE")</f>
        <v>NONE</v>
      </c>
      <c r="E717" t="str">
        <f>_xlfn.XLOOKUP(LEFT(A717,2),SECTOR!$A$2:$A$88,SECTOR!$A$2:$A$88,"")</f>
        <v/>
      </c>
      <c r="F717" t="str">
        <f>_xlfn.XLOOKUP(LEFT(A717,2),SECTOR!$A$2:$A$88,SECTOR!$B$2:$B$88,"")</f>
        <v/>
      </c>
      <c r="G717" t="str">
        <f>_xlfn.XLOOKUP(LEFT(A717,3),INDUSTRY!$A$2:$A$259,INDUSTRY!$A$2:$A$259,"")</f>
        <v>855</v>
      </c>
      <c r="H717" t="str">
        <f>_xlfn.XLOOKUP(LEFT(A717,3),INDUSTRY!$A$2:$A$259,INDUSTRY!$B$2:$B$259,"")</f>
        <v>Other education</v>
      </c>
      <c r="I717" t="str">
        <f t="shared" si="22"/>
        <v>8551</v>
      </c>
      <c r="J717" t="str">
        <f t="shared" si="23"/>
        <v xml:space="preserve"> Sports and recreation education </v>
      </c>
    </row>
    <row r="718" spans="1:10" x14ac:dyDescent="0.25">
      <c r="A718" t="s">
        <v>2128</v>
      </c>
      <c r="B718" t="s">
        <v>2129</v>
      </c>
      <c r="C718" t="s">
        <v>2104</v>
      </c>
      <c r="D718" t="str">
        <f>_xlfn.XLOOKUP(ISIC_Rev_5_english_structure__1[[#This Row],[Column4]],INDUSTRYGROUP!$C$2:$C$23,INDUSTRYGROUP!$D$2:$D$23,"NONE")</f>
        <v>NONE</v>
      </c>
      <c r="E718" t="str">
        <f>_xlfn.XLOOKUP(LEFT(A718,2),SECTOR!$A$2:$A$88,SECTOR!$A$2:$A$88,"")</f>
        <v/>
      </c>
      <c r="F718" t="str">
        <f>_xlfn.XLOOKUP(LEFT(A718,2),SECTOR!$A$2:$A$88,SECTOR!$B$2:$B$88,"")</f>
        <v/>
      </c>
      <c r="G718" t="str">
        <f>_xlfn.XLOOKUP(LEFT(A718,3),INDUSTRY!$A$2:$A$259,INDUSTRY!$A$2:$A$259,"")</f>
        <v>855</v>
      </c>
      <c r="H718" t="str">
        <f>_xlfn.XLOOKUP(LEFT(A718,3),INDUSTRY!$A$2:$A$259,INDUSTRY!$B$2:$B$259,"")</f>
        <v>Other education</v>
      </c>
      <c r="I718" t="str">
        <f t="shared" si="22"/>
        <v>8552</v>
      </c>
      <c r="J718" t="str">
        <f t="shared" si="23"/>
        <v xml:space="preserve"> Cultural education</v>
      </c>
    </row>
    <row r="719" spans="1:10" x14ac:dyDescent="0.25">
      <c r="A719" t="s">
        <v>2130</v>
      </c>
      <c r="B719" t="s">
        <v>2131</v>
      </c>
      <c r="C719" t="s">
        <v>2104</v>
      </c>
      <c r="D719" t="str">
        <f>_xlfn.XLOOKUP(ISIC_Rev_5_english_structure__1[[#This Row],[Column4]],INDUSTRYGROUP!$C$2:$C$23,INDUSTRYGROUP!$D$2:$D$23,"NONE")</f>
        <v>NONE</v>
      </c>
      <c r="E719" t="str">
        <f>_xlfn.XLOOKUP(LEFT(A719,2),SECTOR!$A$2:$A$88,SECTOR!$A$2:$A$88,"")</f>
        <v/>
      </c>
      <c r="F719" t="str">
        <f>_xlfn.XLOOKUP(LEFT(A719,2),SECTOR!$A$2:$A$88,SECTOR!$B$2:$B$88,"")</f>
        <v/>
      </c>
      <c r="G719" t="str">
        <f>_xlfn.XLOOKUP(LEFT(A719,3),INDUSTRY!$A$2:$A$259,INDUSTRY!$A$2:$A$259,"")</f>
        <v>855</v>
      </c>
      <c r="H719" t="str">
        <f>_xlfn.XLOOKUP(LEFT(A719,3),INDUSTRY!$A$2:$A$259,INDUSTRY!$B$2:$B$259,"")</f>
        <v>Other education</v>
      </c>
      <c r="I719" t="str">
        <f t="shared" si="22"/>
        <v>8553</v>
      </c>
      <c r="J719" t="str">
        <f t="shared" si="23"/>
        <v>Driving school activities</v>
      </c>
    </row>
    <row r="720" spans="1:10" x14ac:dyDescent="0.25">
      <c r="A720" t="s">
        <v>2132</v>
      </c>
      <c r="B720" t="s">
        <v>2133</v>
      </c>
      <c r="C720" t="s">
        <v>2104</v>
      </c>
      <c r="D720" t="str">
        <f>_xlfn.XLOOKUP(ISIC_Rev_5_english_structure__1[[#This Row],[Column4]],INDUSTRYGROUP!$C$2:$C$23,INDUSTRYGROUP!$D$2:$D$23,"NONE")</f>
        <v>NONE</v>
      </c>
      <c r="E720" t="str">
        <f>_xlfn.XLOOKUP(LEFT(A720,2),SECTOR!$A$2:$A$88,SECTOR!$A$2:$A$88,"")</f>
        <v/>
      </c>
      <c r="F720" t="str">
        <f>_xlfn.XLOOKUP(LEFT(A720,2),SECTOR!$A$2:$A$88,SECTOR!$B$2:$B$88,"")</f>
        <v/>
      </c>
      <c r="G720" t="str">
        <f>_xlfn.XLOOKUP(LEFT(A720,3),INDUSTRY!$A$2:$A$259,INDUSTRY!$A$2:$A$259,"")</f>
        <v>855</v>
      </c>
      <c r="H720" t="str">
        <f>_xlfn.XLOOKUP(LEFT(A720,3),INDUSTRY!$A$2:$A$259,INDUSTRY!$B$2:$B$259,"")</f>
        <v>Other education</v>
      </c>
      <c r="I720" t="str">
        <f t="shared" si="22"/>
        <v>8559</v>
      </c>
      <c r="J720" t="str">
        <f t="shared" si="23"/>
        <v>Other education n.e.c.</v>
      </c>
    </row>
    <row r="721" spans="1:10" x14ac:dyDescent="0.25">
      <c r="A721" t="s">
        <v>2134</v>
      </c>
      <c r="B721" t="s">
        <v>2135</v>
      </c>
      <c r="C721" t="s">
        <v>2104</v>
      </c>
      <c r="D721" t="str">
        <f>_xlfn.XLOOKUP(ISIC_Rev_5_english_structure__1[[#This Row],[Column4]],INDUSTRYGROUP!$C$2:$C$23,INDUSTRYGROUP!$D$2:$D$23,"NONE")</f>
        <v>NONE</v>
      </c>
      <c r="E721" t="str">
        <f>_xlfn.XLOOKUP(LEFT(A721,2),SECTOR!$A$2:$A$88,SECTOR!$A$2:$A$88,"")</f>
        <v/>
      </c>
      <c r="F721" t="str">
        <f>_xlfn.XLOOKUP(LEFT(A721,2),SECTOR!$A$2:$A$88,SECTOR!$B$2:$B$88,"")</f>
        <v/>
      </c>
      <c r="G721" t="str">
        <f>_xlfn.XLOOKUP(LEFT(A721,3),INDUSTRY!$A$2:$A$259,INDUSTRY!$A$2:$A$259,"")</f>
        <v>856</v>
      </c>
      <c r="H721" t="str">
        <f>_xlfn.XLOOKUP(LEFT(A721,3),INDUSTRY!$A$2:$A$259,INDUSTRY!$B$2:$B$259,"")</f>
        <v>Educational support activities</v>
      </c>
      <c r="I721" t="str">
        <f t="shared" si="22"/>
        <v/>
      </c>
      <c r="J721" t="str">
        <f t="shared" si="23"/>
        <v/>
      </c>
    </row>
    <row r="722" spans="1:10" x14ac:dyDescent="0.25">
      <c r="A722" t="s">
        <v>2136</v>
      </c>
      <c r="B722" t="s">
        <v>2137</v>
      </c>
      <c r="C722" t="s">
        <v>2104</v>
      </c>
      <c r="D722" t="str">
        <f>_xlfn.XLOOKUP(ISIC_Rev_5_english_structure__1[[#This Row],[Column4]],INDUSTRYGROUP!$C$2:$C$23,INDUSTRYGROUP!$D$2:$D$23,"NONE")</f>
        <v>NONE</v>
      </c>
      <c r="E722" t="str">
        <f>_xlfn.XLOOKUP(LEFT(A722,2),SECTOR!$A$2:$A$88,SECTOR!$A$2:$A$88,"")</f>
        <v/>
      </c>
      <c r="F722" t="str">
        <f>_xlfn.XLOOKUP(LEFT(A722,2),SECTOR!$A$2:$A$88,SECTOR!$B$2:$B$88,"")</f>
        <v/>
      </c>
      <c r="G722" t="str">
        <f>_xlfn.XLOOKUP(LEFT(A722,3),INDUSTRY!$A$2:$A$259,INDUSTRY!$A$2:$A$259,"")</f>
        <v>856</v>
      </c>
      <c r="H722" t="str">
        <f>_xlfn.XLOOKUP(LEFT(A722,3),INDUSTRY!$A$2:$A$259,INDUSTRY!$B$2:$B$259,"")</f>
        <v>Educational support activities</v>
      </c>
      <c r="I722" t="str">
        <f t="shared" si="22"/>
        <v>8561</v>
      </c>
      <c r="J722" t="str">
        <f t="shared" si="23"/>
        <v>Intermediation service activities for courses and tutors</v>
      </c>
    </row>
    <row r="723" spans="1:10" x14ac:dyDescent="0.25">
      <c r="A723" t="s">
        <v>2138</v>
      </c>
      <c r="B723" t="s">
        <v>2139</v>
      </c>
      <c r="C723" t="s">
        <v>2104</v>
      </c>
      <c r="D723" t="str">
        <f>_xlfn.XLOOKUP(ISIC_Rev_5_english_structure__1[[#This Row],[Column4]],INDUSTRYGROUP!$C$2:$C$23,INDUSTRYGROUP!$D$2:$D$23,"NONE")</f>
        <v>NONE</v>
      </c>
      <c r="E723" t="str">
        <f>_xlfn.XLOOKUP(LEFT(A723,2),SECTOR!$A$2:$A$88,SECTOR!$A$2:$A$88,"")</f>
        <v/>
      </c>
      <c r="F723" t="str">
        <f>_xlfn.XLOOKUP(LEFT(A723,2),SECTOR!$A$2:$A$88,SECTOR!$B$2:$B$88,"")</f>
        <v/>
      </c>
      <c r="G723" t="str">
        <f>_xlfn.XLOOKUP(LEFT(A723,3),INDUSTRY!$A$2:$A$259,INDUSTRY!$A$2:$A$259,"")</f>
        <v>856</v>
      </c>
      <c r="H723" t="str">
        <f>_xlfn.XLOOKUP(LEFT(A723,3),INDUSTRY!$A$2:$A$259,INDUSTRY!$B$2:$B$259,"")</f>
        <v>Educational support activities</v>
      </c>
      <c r="I723" t="str">
        <f t="shared" si="22"/>
        <v>8569</v>
      </c>
      <c r="J723" t="str">
        <f t="shared" si="23"/>
        <v>Other educational support activities</v>
      </c>
    </row>
    <row r="724" spans="1:10" x14ac:dyDescent="0.25">
      <c r="A724" t="s">
        <v>2140</v>
      </c>
      <c r="B724" t="s">
        <v>2141</v>
      </c>
      <c r="C724" t="s">
        <v>2140</v>
      </c>
      <c r="D724" t="str">
        <f>_xlfn.XLOOKUP(ISIC_Rev_5_english_structure__1[[#This Row],[Column4]],INDUSTRYGROUP!$C$2:$C$23,INDUSTRYGROUP!$D$2:$D$23,"NONE")</f>
        <v>NONE</v>
      </c>
      <c r="E724" t="str">
        <f>_xlfn.XLOOKUP(LEFT(A724,2),SECTOR!$A$2:$A$88,SECTOR!$A$2:$A$88,"")</f>
        <v>R</v>
      </c>
      <c r="F724" t="str">
        <f>_xlfn.XLOOKUP(LEFT(A724,2),SECTOR!$A$2:$A$88,SECTOR!$B$2:$B$88,"")</f>
        <v>Human health and social work activities</v>
      </c>
      <c r="G724" t="str">
        <f>_xlfn.XLOOKUP(LEFT(A724,3),INDUSTRY!$A$2:$A$259,INDUSTRY!$A$2:$A$259,"")</f>
        <v/>
      </c>
      <c r="H724" t="str">
        <f>_xlfn.XLOOKUP(LEFT(A724,3),INDUSTRY!$A$2:$A$259,INDUSTRY!$B$2:$B$259,"")</f>
        <v/>
      </c>
      <c r="I724" t="str">
        <f t="shared" si="22"/>
        <v/>
      </c>
      <c r="J724" t="str">
        <f t="shared" si="23"/>
        <v/>
      </c>
    </row>
    <row r="725" spans="1:10" x14ac:dyDescent="0.25">
      <c r="A725" t="s">
        <v>2142</v>
      </c>
      <c r="B725" t="s">
        <v>2143</v>
      </c>
      <c r="C725" t="s">
        <v>2140</v>
      </c>
      <c r="D725" t="str">
        <f>_xlfn.XLOOKUP(ISIC_Rev_5_english_structure__1[[#This Row],[Column4]],INDUSTRYGROUP!$C$2:$C$23,INDUSTRYGROUP!$D$2:$D$23,"NONE")</f>
        <v>NONE</v>
      </c>
      <c r="E725" t="str">
        <f>_xlfn.XLOOKUP(LEFT(A725,2),SECTOR!$A$2:$A$88,SECTOR!$A$2:$A$88,"")</f>
        <v/>
      </c>
      <c r="F725" t="str">
        <f>_xlfn.XLOOKUP(LEFT(A725,2),SECTOR!$A$2:$A$88,SECTOR!$B$2:$B$88,"")</f>
        <v/>
      </c>
      <c r="G725" t="str">
        <f>_xlfn.XLOOKUP(LEFT(A725,3),INDUSTRY!$A$2:$A$259,INDUSTRY!$A$2:$A$259,"")</f>
        <v/>
      </c>
      <c r="H725" t="str">
        <f>_xlfn.XLOOKUP(LEFT(A725,3),INDUSTRY!$A$2:$A$259,INDUSTRY!$B$2:$B$259,"")</f>
        <v/>
      </c>
      <c r="I725" t="str">
        <f t="shared" si="22"/>
        <v/>
      </c>
      <c r="J725" t="str">
        <f t="shared" si="23"/>
        <v/>
      </c>
    </row>
    <row r="726" spans="1:10" x14ac:dyDescent="0.25">
      <c r="A726" t="s">
        <v>2144</v>
      </c>
      <c r="B726" t="s">
        <v>2145</v>
      </c>
      <c r="C726" t="s">
        <v>2140</v>
      </c>
      <c r="D726" t="str">
        <f>_xlfn.XLOOKUP(ISIC_Rev_5_english_structure__1[[#This Row],[Column4]],INDUSTRYGROUP!$C$2:$C$23,INDUSTRYGROUP!$D$2:$D$23,"NONE")</f>
        <v>NONE</v>
      </c>
      <c r="E726" t="str">
        <f>_xlfn.XLOOKUP(LEFT(A726,2),SECTOR!$A$2:$A$88,SECTOR!$A$2:$A$88,"")</f>
        <v/>
      </c>
      <c r="F726" t="str">
        <f>_xlfn.XLOOKUP(LEFT(A726,2),SECTOR!$A$2:$A$88,SECTOR!$B$2:$B$88,"")</f>
        <v/>
      </c>
      <c r="G726" t="str">
        <f>_xlfn.XLOOKUP(LEFT(A726,3),INDUSTRY!$A$2:$A$259,INDUSTRY!$A$2:$A$259,"")</f>
        <v>861</v>
      </c>
      <c r="H726" t="str">
        <f>_xlfn.XLOOKUP(LEFT(A726,3),INDUSTRY!$A$2:$A$259,INDUSTRY!$B$2:$B$259,"")</f>
        <v>Hospital activities</v>
      </c>
      <c r="I726" t="str">
        <f t="shared" si="22"/>
        <v/>
      </c>
      <c r="J726" t="str">
        <f t="shared" si="23"/>
        <v/>
      </c>
    </row>
    <row r="727" spans="1:10" x14ac:dyDescent="0.25">
      <c r="A727" t="s">
        <v>2146</v>
      </c>
      <c r="B727" t="s">
        <v>2145</v>
      </c>
      <c r="C727" t="s">
        <v>2140</v>
      </c>
      <c r="D727" t="str">
        <f>_xlfn.XLOOKUP(ISIC_Rev_5_english_structure__1[[#This Row],[Column4]],INDUSTRYGROUP!$C$2:$C$23,INDUSTRYGROUP!$D$2:$D$23,"NONE")</f>
        <v>NONE</v>
      </c>
      <c r="E727" t="str">
        <f>_xlfn.XLOOKUP(LEFT(A727,2),SECTOR!$A$2:$A$88,SECTOR!$A$2:$A$88,"")</f>
        <v/>
      </c>
      <c r="F727" t="str">
        <f>_xlfn.XLOOKUP(LEFT(A727,2),SECTOR!$A$2:$A$88,SECTOR!$B$2:$B$88,"")</f>
        <v/>
      </c>
      <c r="G727" t="str">
        <f>_xlfn.XLOOKUP(LEFT(A727,3),INDUSTRY!$A$2:$A$259,INDUSTRY!$A$2:$A$259,"")</f>
        <v>861</v>
      </c>
      <c r="H727" t="str">
        <f>_xlfn.XLOOKUP(LEFT(A727,3),INDUSTRY!$A$2:$A$259,INDUSTRY!$B$2:$B$259,"")</f>
        <v>Hospital activities</v>
      </c>
      <c r="I727" t="str">
        <f t="shared" si="22"/>
        <v>8610</v>
      </c>
      <c r="J727" t="str">
        <f t="shared" si="23"/>
        <v>Hospital activities</v>
      </c>
    </row>
    <row r="728" spans="1:10" x14ac:dyDescent="0.25">
      <c r="A728" t="s">
        <v>2147</v>
      </c>
      <c r="B728" t="s">
        <v>2148</v>
      </c>
      <c r="C728" t="s">
        <v>2140</v>
      </c>
      <c r="D728" t="str">
        <f>_xlfn.XLOOKUP(ISIC_Rev_5_english_structure__1[[#This Row],[Column4]],INDUSTRYGROUP!$C$2:$C$23,INDUSTRYGROUP!$D$2:$D$23,"NONE")</f>
        <v>NONE</v>
      </c>
      <c r="E728" t="str">
        <f>_xlfn.XLOOKUP(LEFT(A728,2),SECTOR!$A$2:$A$88,SECTOR!$A$2:$A$88,"")</f>
        <v/>
      </c>
      <c r="F728" t="str">
        <f>_xlfn.XLOOKUP(LEFT(A728,2),SECTOR!$A$2:$A$88,SECTOR!$B$2:$B$88,"")</f>
        <v/>
      </c>
      <c r="G728" t="str">
        <f>_xlfn.XLOOKUP(LEFT(A728,3),INDUSTRY!$A$2:$A$259,INDUSTRY!$A$2:$A$259,"")</f>
        <v>862</v>
      </c>
      <c r="H728" t="str">
        <f>_xlfn.XLOOKUP(LEFT(A728,3),INDUSTRY!$A$2:$A$259,INDUSTRY!$B$2:$B$259,"")</f>
        <v xml:space="preserve">Medical and dental practice activities </v>
      </c>
      <c r="I728" t="str">
        <f t="shared" si="22"/>
        <v/>
      </c>
      <c r="J728" t="str">
        <f t="shared" si="23"/>
        <v/>
      </c>
    </row>
    <row r="729" spans="1:10" x14ac:dyDescent="0.25">
      <c r="A729" t="s">
        <v>2149</v>
      </c>
      <c r="B729" t="s">
        <v>2148</v>
      </c>
      <c r="C729" t="s">
        <v>2140</v>
      </c>
      <c r="D729" t="str">
        <f>_xlfn.XLOOKUP(ISIC_Rev_5_english_structure__1[[#This Row],[Column4]],INDUSTRYGROUP!$C$2:$C$23,INDUSTRYGROUP!$D$2:$D$23,"NONE")</f>
        <v>NONE</v>
      </c>
      <c r="E729" t="str">
        <f>_xlfn.XLOOKUP(LEFT(A729,2),SECTOR!$A$2:$A$88,SECTOR!$A$2:$A$88,"")</f>
        <v/>
      </c>
      <c r="F729" t="str">
        <f>_xlfn.XLOOKUP(LEFT(A729,2),SECTOR!$A$2:$A$88,SECTOR!$B$2:$B$88,"")</f>
        <v/>
      </c>
      <c r="G729" t="str">
        <f>_xlfn.XLOOKUP(LEFT(A729,3),INDUSTRY!$A$2:$A$259,INDUSTRY!$A$2:$A$259,"")</f>
        <v>862</v>
      </c>
      <c r="H729" t="str">
        <f>_xlfn.XLOOKUP(LEFT(A729,3),INDUSTRY!$A$2:$A$259,INDUSTRY!$B$2:$B$259,"")</f>
        <v xml:space="preserve">Medical and dental practice activities </v>
      </c>
      <c r="I729" t="str">
        <f t="shared" si="22"/>
        <v>8620</v>
      </c>
      <c r="J729" t="str">
        <f t="shared" si="23"/>
        <v xml:space="preserve">Medical and dental practice activities </v>
      </c>
    </row>
    <row r="730" spans="1:10" x14ac:dyDescent="0.25">
      <c r="A730" t="s">
        <v>2150</v>
      </c>
      <c r="B730" t="s">
        <v>2151</v>
      </c>
      <c r="C730" t="s">
        <v>2140</v>
      </c>
      <c r="D730" t="str">
        <f>_xlfn.XLOOKUP(ISIC_Rev_5_english_structure__1[[#This Row],[Column4]],INDUSTRYGROUP!$C$2:$C$23,INDUSTRYGROUP!$D$2:$D$23,"NONE")</f>
        <v>NONE</v>
      </c>
      <c r="E730" t="str">
        <f>_xlfn.XLOOKUP(LEFT(A730,2),SECTOR!$A$2:$A$88,SECTOR!$A$2:$A$88,"")</f>
        <v/>
      </c>
      <c r="F730" t="str">
        <f>_xlfn.XLOOKUP(LEFT(A730,2),SECTOR!$A$2:$A$88,SECTOR!$B$2:$B$88,"")</f>
        <v/>
      </c>
      <c r="G730" t="str">
        <f>_xlfn.XLOOKUP(LEFT(A730,3),INDUSTRY!$A$2:$A$259,INDUSTRY!$A$2:$A$259,"")</f>
        <v>869</v>
      </c>
      <c r="H730" t="str">
        <f>_xlfn.XLOOKUP(LEFT(A730,3),INDUSTRY!$A$2:$A$259,INDUSTRY!$B$2:$B$259,"")</f>
        <v xml:space="preserve">Other human health activities </v>
      </c>
      <c r="I730" t="str">
        <f t="shared" si="22"/>
        <v/>
      </c>
      <c r="J730" t="str">
        <f t="shared" si="23"/>
        <v/>
      </c>
    </row>
    <row r="731" spans="1:10" x14ac:dyDescent="0.25">
      <c r="A731" t="s">
        <v>2152</v>
      </c>
      <c r="B731" t="s">
        <v>2153</v>
      </c>
      <c r="C731" t="s">
        <v>2140</v>
      </c>
      <c r="D731" t="str">
        <f>_xlfn.XLOOKUP(ISIC_Rev_5_english_structure__1[[#This Row],[Column4]],INDUSTRYGROUP!$C$2:$C$23,INDUSTRYGROUP!$D$2:$D$23,"NONE")</f>
        <v>NONE</v>
      </c>
      <c r="E731" t="str">
        <f>_xlfn.XLOOKUP(LEFT(A731,2),SECTOR!$A$2:$A$88,SECTOR!$A$2:$A$88,"")</f>
        <v/>
      </c>
      <c r="F731" t="str">
        <f>_xlfn.XLOOKUP(LEFT(A731,2),SECTOR!$A$2:$A$88,SECTOR!$B$2:$B$88,"")</f>
        <v/>
      </c>
      <c r="G731" t="str">
        <f>_xlfn.XLOOKUP(LEFT(A731,3),INDUSTRY!$A$2:$A$259,INDUSTRY!$A$2:$A$259,"")</f>
        <v>869</v>
      </c>
      <c r="H731" t="str">
        <f>_xlfn.XLOOKUP(LEFT(A731,3),INDUSTRY!$A$2:$A$259,INDUSTRY!$B$2:$B$259,"")</f>
        <v xml:space="preserve">Other human health activities </v>
      </c>
      <c r="I731" t="str">
        <f t="shared" si="22"/>
        <v>8691</v>
      </c>
      <c r="J731" t="str">
        <f t="shared" si="23"/>
        <v>Intermediation service activities for medical, dental, and other human health services</v>
      </c>
    </row>
    <row r="732" spans="1:10" x14ac:dyDescent="0.25">
      <c r="A732" t="s">
        <v>2154</v>
      </c>
      <c r="B732" t="s">
        <v>2155</v>
      </c>
      <c r="C732" t="s">
        <v>2140</v>
      </c>
      <c r="D732" t="str">
        <f>_xlfn.XLOOKUP(ISIC_Rev_5_english_structure__1[[#This Row],[Column4]],INDUSTRYGROUP!$C$2:$C$23,INDUSTRYGROUP!$D$2:$D$23,"NONE")</f>
        <v>NONE</v>
      </c>
      <c r="E732" t="str">
        <f>_xlfn.XLOOKUP(LEFT(A732,2),SECTOR!$A$2:$A$88,SECTOR!$A$2:$A$88,"")</f>
        <v/>
      </c>
      <c r="F732" t="str">
        <f>_xlfn.XLOOKUP(LEFT(A732,2),SECTOR!$A$2:$A$88,SECTOR!$B$2:$B$88,"")</f>
        <v/>
      </c>
      <c r="G732" t="str">
        <f>_xlfn.XLOOKUP(LEFT(A732,3),INDUSTRY!$A$2:$A$259,INDUSTRY!$A$2:$A$259,"")</f>
        <v>869</v>
      </c>
      <c r="H732" t="str">
        <f>_xlfn.XLOOKUP(LEFT(A732,3),INDUSTRY!$A$2:$A$259,INDUSTRY!$B$2:$B$259,"")</f>
        <v xml:space="preserve">Other human health activities </v>
      </c>
      <c r="I732" t="str">
        <f t="shared" si="22"/>
        <v>8699</v>
      </c>
      <c r="J732" t="str">
        <f t="shared" si="23"/>
        <v>Other human health activities n.e.c</v>
      </c>
    </row>
    <row r="733" spans="1:10" x14ac:dyDescent="0.25">
      <c r="A733" t="s">
        <v>2156</v>
      </c>
      <c r="B733" t="s">
        <v>2157</v>
      </c>
      <c r="C733" t="s">
        <v>2140</v>
      </c>
      <c r="D733" t="str">
        <f>_xlfn.XLOOKUP(ISIC_Rev_5_english_structure__1[[#This Row],[Column4]],INDUSTRYGROUP!$C$2:$C$23,INDUSTRYGROUP!$D$2:$D$23,"NONE")</f>
        <v>NONE</v>
      </c>
      <c r="E733" t="str">
        <f>_xlfn.XLOOKUP(LEFT(A733,2),SECTOR!$A$2:$A$88,SECTOR!$A$2:$A$88,"")</f>
        <v/>
      </c>
      <c r="F733" t="str">
        <f>_xlfn.XLOOKUP(LEFT(A733,2),SECTOR!$A$2:$A$88,SECTOR!$B$2:$B$88,"")</f>
        <v/>
      </c>
      <c r="G733" t="str">
        <f>_xlfn.XLOOKUP(LEFT(A733,3),INDUSTRY!$A$2:$A$259,INDUSTRY!$A$2:$A$259,"")</f>
        <v/>
      </c>
      <c r="H733" t="str">
        <f>_xlfn.XLOOKUP(LEFT(A733,3),INDUSTRY!$A$2:$A$259,INDUSTRY!$B$2:$B$259,"")</f>
        <v/>
      </c>
      <c r="I733" t="str">
        <f t="shared" si="22"/>
        <v/>
      </c>
      <c r="J733" t="str">
        <f t="shared" si="23"/>
        <v/>
      </c>
    </row>
    <row r="734" spans="1:10" x14ac:dyDescent="0.25">
      <c r="A734" t="s">
        <v>2158</v>
      </c>
      <c r="B734" t="s">
        <v>2159</v>
      </c>
      <c r="C734" t="s">
        <v>2140</v>
      </c>
      <c r="D734" t="str">
        <f>_xlfn.XLOOKUP(ISIC_Rev_5_english_structure__1[[#This Row],[Column4]],INDUSTRYGROUP!$C$2:$C$23,INDUSTRYGROUP!$D$2:$D$23,"NONE")</f>
        <v>NONE</v>
      </c>
      <c r="E734" t="str">
        <f>_xlfn.XLOOKUP(LEFT(A734,2),SECTOR!$A$2:$A$88,SECTOR!$A$2:$A$88,"")</f>
        <v/>
      </c>
      <c r="F734" t="str">
        <f>_xlfn.XLOOKUP(LEFT(A734,2),SECTOR!$A$2:$A$88,SECTOR!$B$2:$B$88,"")</f>
        <v/>
      </c>
      <c r="G734" t="str">
        <f>_xlfn.XLOOKUP(LEFT(A734,3),INDUSTRY!$A$2:$A$259,INDUSTRY!$A$2:$A$259,"")</f>
        <v>871</v>
      </c>
      <c r="H734" t="str">
        <f>_xlfn.XLOOKUP(LEFT(A734,3),INDUSTRY!$A$2:$A$259,INDUSTRY!$B$2:$B$259,"")</f>
        <v xml:space="preserve">Residential nursing care activities </v>
      </c>
      <c r="I734" t="str">
        <f t="shared" si="22"/>
        <v/>
      </c>
      <c r="J734" t="str">
        <f t="shared" si="23"/>
        <v/>
      </c>
    </row>
    <row r="735" spans="1:10" x14ac:dyDescent="0.25">
      <c r="A735" t="s">
        <v>2160</v>
      </c>
      <c r="B735" t="s">
        <v>2159</v>
      </c>
      <c r="C735" t="s">
        <v>2140</v>
      </c>
      <c r="D735" t="str">
        <f>_xlfn.XLOOKUP(ISIC_Rev_5_english_structure__1[[#This Row],[Column4]],INDUSTRYGROUP!$C$2:$C$23,INDUSTRYGROUP!$D$2:$D$23,"NONE")</f>
        <v>NONE</v>
      </c>
      <c r="E735" t="str">
        <f>_xlfn.XLOOKUP(LEFT(A735,2),SECTOR!$A$2:$A$88,SECTOR!$A$2:$A$88,"")</f>
        <v/>
      </c>
      <c r="F735" t="str">
        <f>_xlfn.XLOOKUP(LEFT(A735,2),SECTOR!$A$2:$A$88,SECTOR!$B$2:$B$88,"")</f>
        <v/>
      </c>
      <c r="G735" t="str">
        <f>_xlfn.XLOOKUP(LEFT(A735,3),INDUSTRY!$A$2:$A$259,INDUSTRY!$A$2:$A$259,"")</f>
        <v>871</v>
      </c>
      <c r="H735" t="str">
        <f>_xlfn.XLOOKUP(LEFT(A735,3),INDUSTRY!$A$2:$A$259,INDUSTRY!$B$2:$B$259,"")</f>
        <v xml:space="preserve">Residential nursing care activities </v>
      </c>
      <c r="I735" t="str">
        <f t="shared" si="22"/>
        <v>8710</v>
      </c>
      <c r="J735" t="str">
        <f t="shared" si="23"/>
        <v xml:space="preserve">Residential nursing care activities </v>
      </c>
    </row>
    <row r="736" spans="1:10" x14ac:dyDescent="0.25">
      <c r="A736" t="s">
        <v>2161</v>
      </c>
      <c r="B736" t="s">
        <v>2162</v>
      </c>
      <c r="C736" t="s">
        <v>2140</v>
      </c>
      <c r="D736" t="str">
        <f>_xlfn.XLOOKUP(ISIC_Rev_5_english_structure__1[[#This Row],[Column4]],INDUSTRYGROUP!$C$2:$C$23,INDUSTRYGROUP!$D$2:$D$23,"NONE")</f>
        <v>NONE</v>
      </c>
      <c r="E736" t="str">
        <f>_xlfn.XLOOKUP(LEFT(A736,2),SECTOR!$A$2:$A$88,SECTOR!$A$2:$A$88,"")</f>
        <v/>
      </c>
      <c r="F736" t="str">
        <f>_xlfn.XLOOKUP(LEFT(A736,2),SECTOR!$A$2:$A$88,SECTOR!$B$2:$B$88,"")</f>
        <v/>
      </c>
      <c r="G736" t="str">
        <f>_xlfn.XLOOKUP(LEFT(A736,3),INDUSTRY!$A$2:$A$259,INDUSTRY!$A$2:$A$259,"")</f>
        <v>872</v>
      </c>
      <c r="H736" t="str">
        <f>_xlfn.XLOOKUP(LEFT(A736,3),INDUSTRY!$A$2:$A$259,INDUSTRY!$B$2:$B$259,"")</f>
        <v>Residential care activities for persons living with or having a diagnosis of a mental illness or substance abuse</v>
      </c>
      <c r="I736" t="str">
        <f t="shared" si="22"/>
        <v/>
      </c>
      <c r="J736" t="str">
        <f t="shared" si="23"/>
        <v/>
      </c>
    </row>
    <row r="737" spans="1:10" x14ac:dyDescent="0.25">
      <c r="A737" t="s">
        <v>2163</v>
      </c>
      <c r="B737" t="s">
        <v>2162</v>
      </c>
      <c r="C737" t="s">
        <v>2140</v>
      </c>
      <c r="D737" t="str">
        <f>_xlfn.XLOOKUP(ISIC_Rev_5_english_structure__1[[#This Row],[Column4]],INDUSTRYGROUP!$C$2:$C$23,INDUSTRYGROUP!$D$2:$D$23,"NONE")</f>
        <v>NONE</v>
      </c>
      <c r="E737" t="str">
        <f>_xlfn.XLOOKUP(LEFT(A737,2),SECTOR!$A$2:$A$88,SECTOR!$A$2:$A$88,"")</f>
        <v/>
      </c>
      <c r="F737" t="str">
        <f>_xlfn.XLOOKUP(LEFT(A737,2),SECTOR!$A$2:$A$88,SECTOR!$B$2:$B$88,"")</f>
        <v/>
      </c>
      <c r="G737" t="str">
        <f>_xlfn.XLOOKUP(LEFT(A737,3),INDUSTRY!$A$2:$A$259,INDUSTRY!$A$2:$A$259,"")</f>
        <v>872</v>
      </c>
      <c r="H737" t="str">
        <f>_xlfn.XLOOKUP(LEFT(A737,3),INDUSTRY!$A$2:$A$259,INDUSTRY!$B$2:$B$259,"")</f>
        <v>Residential care activities for persons living with or having a diagnosis of a mental illness or substance abuse</v>
      </c>
      <c r="I737" t="str">
        <f t="shared" si="22"/>
        <v>8720</v>
      </c>
      <c r="J737" t="str">
        <f t="shared" si="23"/>
        <v>Residential care activities for persons living with or having a diagnosis of a mental illness or substance abuse</v>
      </c>
    </row>
    <row r="738" spans="1:10" x14ac:dyDescent="0.25">
      <c r="A738" t="s">
        <v>2164</v>
      </c>
      <c r="B738" t="s">
        <v>2165</v>
      </c>
      <c r="C738" t="s">
        <v>2140</v>
      </c>
      <c r="D738" t="str">
        <f>_xlfn.XLOOKUP(ISIC_Rev_5_english_structure__1[[#This Row],[Column4]],INDUSTRYGROUP!$C$2:$C$23,INDUSTRYGROUP!$D$2:$D$23,"NONE")</f>
        <v>NONE</v>
      </c>
      <c r="E738" t="str">
        <f>_xlfn.XLOOKUP(LEFT(A738,2),SECTOR!$A$2:$A$88,SECTOR!$A$2:$A$88,"")</f>
        <v/>
      </c>
      <c r="F738" t="str">
        <f>_xlfn.XLOOKUP(LEFT(A738,2),SECTOR!$A$2:$A$88,SECTOR!$B$2:$B$88,"")</f>
        <v/>
      </c>
      <c r="G738" t="str">
        <f>_xlfn.XLOOKUP(LEFT(A738,3),INDUSTRY!$A$2:$A$259,INDUSTRY!$A$2:$A$259,"")</f>
        <v>873</v>
      </c>
      <c r="H738" t="str">
        <f>_xlfn.XLOOKUP(LEFT(A738,3),INDUSTRY!$A$2:$A$259,INDUSTRY!$B$2:$B$259,"")</f>
        <v>Residential care activities for older persons or persons with physical disabilities</v>
      </c>
      <c r="I738" t="str">
        <f t="shared" si="22"/>
        <v/>
      </c>
      <c r="J738" t="str">
        <f t="shared" si="23"/>
        <v/>
      </c>
    </row>
    <row r="739" spans="1:10" x14ac:dyDescent="0.25">
      <c r="A739" t="s">
        <v>2166</v>
      </c>
      <c r="B739" t="s">
        <v>2165</v>
      </c>
      <c r="C739" t="s">
        <v>2140</v>
      </c>
      <c r="D739" t="str">
        <f>_xlfn.XLOOKUP(ISIC_Rev_5_english_structure__1[[#This Row],[Column4]],INDUSTRYGROUP!$C$2:$C$23,INDUSTRYGROUP!$D$2:$D$23,"NONE")</f>
        <v>NONE</v>
      </c>
      <c r="E739" t="str">
        <f>_xlfn.XLOOKUP(LEFT(A739,2),SECTOR!$A$2:$A$88,SECTOR!$A$2:$A$88,"")</f>
        <v/>
      </c>
      <c r="F739" t="str">
        <f>_xlfn.XLOOKUP(LEFT(A739,2),SECTOR!$A$2:$A$88,SECTOR!$B$2:$B$88,"")</f>
        <v/>
      </c>
      <c r="G739" t="str">
        <f>_xlfn.XLOOKUP(LEFT(A739,3),INDUSTRY!$A$2:$A$259,INDUSTRY!$A$2:$A$259,"")</f>
        <v>873</v>
      </c>
      <c r="H739" t="str">
        <f>_xlfn.XLOOKUP(LEFT(A739,3),INDUSTRY!$A$2:$A$259,INDUSTRY!$B$2:$B$259,"")</f>
        <v>Residential care activities for older persons or persons with physical disabilities</v>
      </c>
      <c r="I739" t="str">
        <f t="shared" si="22"/>
        <v>8730</v>
      </c>
      <c r="J739" t="str">
        <f t="shared" si="23"/>
        <v>Residential care activities for older persons or persons with physical disabilities</v>
      </c>
    </row>
    <row r="740" spans="1:10" x14ac:dyDescent="0.25">
      <c r="A740" t="s">
        <v>2167</v>
      </c>
      <c r="B740" t="s">
        <v>2168</v>
      </c>
      <c r="C740" t="s">
        <v>2140</v>
      </c>
      <c r="D740" t="str">
        <f>_xlfn.XLOOKUP(ISIC_Rev_5_english_structure__1[[#This Row],[Column4]],INDUSTRYGROUP!$C$2:$C$23,INDUSTRYGROUP!$D$2:$D$23,"NONE")</f>
        <v>NONE</v>
      </c>
      <c r="E740" t="str">
        <f>_xlfn.XLOOKUP(LEFT(A740,2),SECTOR!$A$2:$A$88,SECTOR!$A$2:$A$88,"")</f>
        <v/>
      </c>
      <c r="F740" t="str">
        <f>_xlfn.XLOOKUP(LEFT(A740,2),SECTOR!$A$2:$A$88,SECTOR!$B$2:$B$88,"")</f>
        <v/>
      </c>
      <c r="G740" t="str">
        <f>_xlfn.XLOOKUP(LEFT(A740,3),INDUSTRY!$A$2:$A$259,INDUSTRY!$A$2:$A$259,"")</f>
        <v>879</v>
      </c>
      <c r="H740" t="str">
        <f>_xlfn.XLOOKUP(LEFT(A740,3),INDUSTRY!$A$2:$A$259,INDUSTRY!$B$2:$B$259,"")</f>
        <v>Other residential care activities</v>
      </c>
      <c r="I740" t="str">
        <f t="shared" si="22"/>
        <v/>
      </c>
      <c r="J740" t="str">
        <f t="shared" si="23"/>
        <v/>
      </c>
    </row>
    <row r="741" spans="1:10" x14ac:dyDescent="0.25">
      <c r="A741" t="s">
        <v>2169</v>
      </c>
      <c r="B741" t="s">
        <v>2170</v>
      </c>
      <c r="C741" t="s">
        <v>2140</v>
      </c>
      <c r="D741" t="str">
        <f>_xlfn.XLOOKUP(ISIC_Rev_5_english_structure__1[[#This Row],[Column4]],INDUSTRYGROUP!$C$2:$C$23,INDUSTRYGROUP!$D$2:$D$23,"NONE")</f>
        <v>NONE</v>
      </c>
      <c r="E741" t="str">
        <f>_xlfn.XLOOKUP(LEFT(A741,2),SECTOR!$A$2:$A$88,SECTOR!$A$2:$A$88,"")</f>
        <v/>
      </c>
      <c r="F741" t="str">
        <f>_xlfn.XLOOKUP(LEFT(A741,2),SECTOR!$A$2:$A$88,SECTOR!$B$2:$B$88,"")</f>
        <v/>
      </c>
      <c r="G741" t="str">
        <f>_xlfn.XLOOKUP(LEFT(A741,3),INDUSTRY!$A$2:$A$259,INDUSTRY!$A$2:$A$259,"")</f>
        <v>879</v>
      </c>
      <c r="H741" t="str">
        <f>_xlfn.XLOOKUP(LEFT(A741,3),INDUSTRY!$A$2:$A$259,INDUSTRY!$B$2:$B$259,"")</f>
        <v>Other residential care activities</v>
      </c>
      <c r="I741" t="str">
        <f t="shared" si="22"/>
        <v>8791</v>
      </c>
      <c r="J741" t="str">
        <f t="shared" si="23"/>
        <v>Intermediation service activities for residential care activities</v>
      </c>
    </row>
    <row r="742" spans="1:10" x14ac:dyDescent="0.25">
      <c r="A742" t="s">
        <v>2171</v>
      </c>
      <c r="B742" t="s">
        <v>2172</v>
      </c>
      <c r="C742" t="s">
        <v>2140</v>
      </c>
      <c r="D742" t="str">
        <f>_xlfn.XLOOKUP(ISIC_Rev_5_english_structure__1[[#This Row],[Column4]],INDUSTRYGROUP!$C$2:$C$23,INDUSTRYGROUP!$D$2:$D$23,"NONE")</f>
        <v>NONE</v>
      </c>
      <c r="E742" t="str">
        <f>_xlfn.XLOOKUP(LEFT(A742,2),SECTOR!$A$2:$A$88,SECTOR!$A$2:$A$88,"")</f>
        <v/>
      </c>
      <c r="F742" t="str">
        <f>_xlfn.XLOOKUP(LEFT(A742,2),SECTOR!$A$2:$A$88,SECTOR!$B$2:$B$88,"")</f>
        <v/>
      </c>
      <c r="G742" t="str">
        <f>_xlfn.XLOOKUP(LEFT(A742,3),INDUSTRY!$A$2:$A$259,INDUSTRY!$A$2:$A$259,"")</f>
        <v>879</v>
      </c>
      <c r="H742" t="str">
        <f>_xlfn.XLOOKUP(LEFT(A742,3),INDUSTRY!$A$2:$A$259,INDUSTRY!$B$2:$B$259,"")</f>
        <v>Other residential care activities</v>
      </c>
      <c r="I742" t="str">
        <f t="shared" si="22"/>
        <v>8799</v>
      </c>
      <c r="J742" t="str">
        <f t="shared" si="23"/>
        <v>Other residential care activities n.e.c.</v>
      </c>
    </row>
    <row r="743" spans="1:10" x14ac:dyDescent="0.25">
      <c r="A743" t="s">
        <v>2173</v>
      </c>
      <c r="B743" t="s">
        <v>2174</v>
      </c>
      <c r="C743" t="s">
        <v>2140</v>
      </c>
      <c r="D743" t="str">
        <f>_xlfn.XLOOKUP(ISIC_Rev_5_english_structure__1[[#This Row],[Column4]],INDUSTRYGROUP!$C$2:$C$23,INDUSTRYGROUP!$D$2:$D$23,"NONE")</f>
        <v>NONE</v>
      </c>
      <c r="E743" t="str">
        <f>_xlfn.XLOOKUP(LEFT(A743,2),SECTOR!$A$2:$A$88,SECTOR!$A$2:$A$88,"")</f>
        <v/>
      </c>
      <c r="F743" t="str">
        <f>_xlfn.XLOOKUP(LEFT(A743,2),SECTOR!$A$2:$A$88,SECTOR!$B$2:$B$88,"")</f>
        <v/>
      </c>
      <c r="G743" t="str">
        <f>_xlfn.XLOOKUP(LEFT(A743,3),INDUSTRY!$A$2:$A$259,INDUSTRY!$A$2:$A$259,"")</f>
        <v/>
      </c>
      <c r="H743" t="str">
        <f>_xlfn.XLOOKUP(LEFT(A743,3),INDUSTRY!$A$2:$A$259,INDUSTRY!$B$2:$B$259,"")</f>
        <v/>
      </c>
      <c r="I743" t="str">
        <f t="shared" si="22"/>
        <v/>
      </c>
      <c r="J743" t="str">
        <f t="shared" si="23"/>
        <v/>
      </c>
    </row>
    <row r="744" spans="1:10" x14ac:dyDescent="0.25">
      <c r="A744" t="s">
        <v>2175</v>
      </c>
      <c r="B744" t="s">
        <v>2176</v>
      </c>
      <c r="C744" t="s">
        <v>2140</v>
      </c>
      <c r="D744" t="str">
        <f>_xlfn.XLOOKUP(ISIC_Rev_5_english_structure__1[[#This Row],[Column4]],INDUSTRYGROUP!$C$2:$C$23,INDUSTRYGROUP!$D$2:$D$23,"NONE")</f>
        <v>NONE</v>
      </c>
      <c r="E744" t="str">
        <f>_xlfn.XLOOKUP(LEFT(A744,2),SECTOR!$A$2:$A$88,SECTOR!$A$2:$A$88,"")</f>
        <v/>
      </c>
      <c r="F744" t="str">
        <f>_xlfn.XLOOKUP(LEFT(A744,2),SECTOR!$A$2:$A$88,SECTOR!$B$2:$B$88,"")</f>
        <v/>
      </c>
      <c r="G744" t="str">
        <f>_xlfn.XLOOKUP(LEFT(A744,3),INDUSTRY!$A$2:$A$259,INDUSTRY!$A$2:$A$259,"")</f>
        <v>881</v>
      </c>
      <c r="H744" t="str">
        <f>_xlfn.XLOOKUP(LEFT(A744,3),INDUSTRY!$A$2:$A$259,INDUSTRY!$B$2:$B$259,"")</f>
        <v>Social work activities without accommodation for older persons or persons with disabilities</v>
      </c>
      <c r="I744" t="str">
        <f t="shared" si="22"/>
        <v/>
      </c>
      <c r="J744" t="str">
        <f t="shared" si="23"/>
        <v/>
      </c>
    </row>
    <row r="745" spans="1:10" x14ac:dyDescent="0.25">
      <c r="A745" t="s">
        <v>2177</v>
      </c>
      <c r="B745" t="s">
        <v>2176</v>
      </c>
      <c r="C745" t="s">
        <v>2140</v>
      </c>
      <c r="D745" t="str">
        <f>_xlfn.XLOOKUP(ISIC_Rev_5_english_structure__1[[#This Row],[Column4]],INDUSTRYGROUP!$C$2:$C$23,INDUSTRYGROUP!$D$2:$D$23,"NONE")</f>
        <v>NONE</v>
      </c>
      <c r="E745" t="str">
        <f>_xlfn.XLOOKUP(LEFT(A745,2),SECTOR!$A$2:$A$88,SECTOR!$A$2:$A$88,"")</f>
        <v/>
      </c>
      <c r="F745" t="str">
        <f>_xlfn.XLOOKUP(LEFT(A745,2),SECTOR!$A$2:$A$88,SECTOR!$B$2:$B$88,"")</f>
        <v/>
      </c>
      <c r="G745" t="str">
        <f>_xlfn.XLOOKUP(LEFT(A745,3),INDUSTRY!$A$2:$A$259,INDUSTRY!$A$2:$A$259,"")</f>
        <v>881</v>
      </c>
      <c r="H745" t="str">
        <f>_xlfn.XLOOKUP(LEFT(A745,3),INDUSTRY!$A$2:$A$259,INDUSTRY!$B$2:$B$259,"")</f>
        <v>Social work activities without accommodation for older persons or persons with disabilities</v>
      </c>
      <c r="I745" t="str">
        <f t="shared" si="22"/>
        <v>8810</v>
      </c>
      <c r="J745" t="str">
        <f t="shared" si="23"/>
        <v>Social work activities without accommodation for older persons or persons with disabilities</v>
      </c>
    </row>
    <row r="746" spans="1:10" x14ac:dyDescent="0.25">
      <c r="A746" t="s">
        <v>2178</v>
      </c>
      <c r="B746" t="s">
        <v>2179</v>
      </c>
      <c r="C746" t="s">
        <v>2140</v>
      </c>
      <c r="D746" t="str">
        <f>_xlfn.XLOOKUP(ISIC_Rev_5_english_structure__1[[#This Row],[Column4]],INDUSTRYGROUP!$C$2:$C$23,INDUSTRYGROUP!$D$2:$D$23,"NONE")</f>
        <v>NONE</v>
      </c>
      <c r="E746" t="str">
        <f>_xlfn.XLOOKUP(LEFT(A746,2),SECTOR!$A$2:$A$88,SECTOR!$A$2:$A$88,"")</f>
        <v/>
      </c>
      <c r="F746" t="str">
        <f>_xlfn.XLOOKUP(LEFT(A746,2),SECTOR!$A$2:$A$88,SECTOR!$B$2:$B$88,"")</f>
        <v/>
      </c>
      <c r="G746" t="str">
        <f>_xlfn.XLOOKUP(LEFT(A746,3),INDUSTRY!$A$2:$A$259,INDUSTRY!$A$2:$A$259,"")</f>
        <v>889</v>
      </c>
      <c r="H746" t="str">
        <f>_xlfn.XLOOKUP(LEFT(A746,3),INDUSTRY!$A$2:$A$259,INDUSTRY!$B$2:$B$259,"")</f>
        <v>Other social work activities without accommodation</v>
      </c>
      <c r="I746" t="str">
        <f t="shared" si="22"/>
        <v/>
      </c>
      <c r="J746" t="str">
        <f t="shared" si="23"/>
        <v/>
      </c>
    </row>
    <row r="747" spans="1:10" x14ac:dyDescent="0.25">
      <c r="A747" t="s">
        <v>2180</v>
      </c>
      <c r="B747" t="s">
        <v>2179</v>
      </c>
      <c r="C747" t="s">
        <v>2140</v>
      </c>
      <c r="D747" t="str">
        <f>_xlfn.XLOOKUP(ISIC_Rev_5_english_structure__1[[#This Row],[Column4]],INDUSTRYGROUP!$C$2:$C$23,INDUSTRYGROUP!$D$2:$D$23,"NONE")</f>
        <v>NONE</v>
      </c>
      <c r="E747" t="str">
        <f>_xlfn.XLOOKUP(LEFT(A747,2),SECTOR!$A$2:$A$88,SECTOR!$A$2:$A$88,"")</f>
        <v/>
      </c>
      <c r="F747" t="str">
        <f>_xlfn.XLOOKUP(LEFT(A747,2),SECTOR!$A$2:$A$88,SECTOR!$B$2:$B$88,"")</f>
        <v/>
      </c>
      <c r="G747" t="str">
        <f>_xlfn.XLOOKUP(LEFT(A747,3),INDUSTRY!$A$2:$A$259,INDUSTRY!$A$2:$A$259,"")</f>
        <v>889</v>
      </c>
      <c r="H747" t="str">
        <f>_xlfn.XLOOKUP(LEFT(A747,3),INDUSTRY!$A$2:$A$259,INDUSTRY!$B$2:$B$259,"")</f>
        <v>Other social work activities without accommodation</v>
      </c>
      <c r="I747" t="str">
        <f t="shared" si="22"/>
        <v>8890</v>
      </c>
      <c r="J747" t="str">
        <f t="shared" si="23"/>
        <v>Other social work activities without accommodation</v>
      </c>
    </row>
    <row r="748" spans="1:10" x14ac:dyDescent="0.25">
      <c r="A748" t="s">
        <v>2181</v>
      </c>
      <c r="B748" t="s">
        <v>2182</v>
      </c>
      <c r="C748" t="s">
        <v>2181</v>
      </c>
      <c r="D748" t="str">
        <f>_xlfn.XLOOKUP(ISIC_Rev_5_english_structure__1[[#This Row],[Column4]],INDUSTRYGROUP!$C$2:$C$23,INDUSTRYGROUP!$D$2:$D$23,"NONE")</f>
        <v>NONE</v>
      </c>
      <c r="E748" t="str">
        <f>_xlfn.XLOOKUP(LEFT(A748,2),SECTOR!$A$2:$A$88,SECTOR!$A$2:$A$88,"")</f>
        <v>S</v>
      </c>
      <c r="F748" t="str">
        <f>_xlfn.XLOOKUP(LEFT(A748,2),SECTOR!$A$2:$A$88,SECTOR!$B$2:$B$88,"")</f>
        <v>Arts, sports and recreation</v>
      </c>
      <c r="G748" t="str">
        <f>_xlfn.XLOOKUP(LEFT(A748,3),INDUSTRY!$A$2:$A$259,INDUSTRY!$A$2:$A$259,"")</f>
        <v/>
      </c>
      <c r="H748" t="str">
        <f>_xlfn.XLOOKUP(LEFT(A748,3),INDUSTRY!$A$2:$A$259,INDUSTRY!$B$2:$B$259,"")</f>
        <v/>
      </c>
      <c r="I748" t="str">
        <f t="shared" si="22"/>
        <v/>
      </c>
      <c r="J748" t="str">
        <f t="shared" si="23"/>
        <v/>
      </c>
    </row>
    <row r="749" spans="1:10" x14ac:dyDescent="0.25">
      <c r="A749" t="s">
        <v>2183</v>
      </c>
      <c r="B749" t="s">
        <v>2184</v>
      </c>
      <c r="C749" t="s">
        <v>2181</v>
      </c>
      <c r="D749" t="str">
        <f>_xlfn.XLOOKUP(ISIC_Rev_5_english_structure__1[[#This Row],[Column4]],INDUSTRYGROUP!$C$2:$C$23,INDUSTRYGROUP!$D$2:$D$23,"NONE")</f>
        <v>NONE</v>
      </c>
      <c r="E749" t="str">
        <f>_xlfn.XLOOKUP(LEFT(A749,2),SECTOR!$A$2:$A$88,SECTOR!$A$2:$A$88,"")</f>
        <v/>
      </c>
      <c r="F749" t="str">
        <f>_xlfn.XLOOKUP(LEFT(A749,2),SECTOR!$A$2:$A$88,SECTOR!$B$2:$B$88,"")</f>
        <v/>
      </c>
      <c r="G749" t="str">
        <f>_xlfn.XLOOKUP(LEFT(A749,3),INDUSTRY!$A$2:$A$259,INDUSTRY!$A$2:$A$259,"")</f>
        <v/>
      </c>
      <c r="H749" t="str">
        <f>_xlfn.XLOOKUP(LEFT(A749,3),INDUSTRY!$A$2:$A$259,INDUSTRY!$B$2:$B$259,"")</f>
        <v/>
      </c>
      <c r="I749" t="str">
        <f t="shared" si="22"/>
        <v/>
      </c>
      <c r="J749" t="str">
        <f t="shared" si="23"/>
        <v/>
      </c>
    </row>
    <row r="750" spans="1:10" x14ac:dyDescent="0.25">
      <c r="A750" t="s">
        <v>2185</v>
      </c>
      <c r="B750" t="s">
        <v>2186</v>
      </c>
      <c r="C750" t="s">
        <v>2181</v>
      </c>
      <c r="D750" t="str">
        <f>_xlfn.XLOOKUP(ISIC_Rev_5_english_structure__1[[#This Row],[Column4]],INDUSTRYGROUP!$C$2:$C$23,INDUSTRYGROUP!$D$2:$D$23,"NONE")</f>
        <v>NONE</v>
      </c>
      <c r="E750" t="str">
        <f>_xlfn.XLOOKUP(LEFT(A750,2),SECTOR!$A$2:$A$88,SECTOR!$A$2:$A$88,"")</f>
        <v/>
      </c>
      <c r="F750" t="str">
        <f>_xlfn.XLOOKUP(LEFT(A750,2),SECTOR!$A$2:$A$88,SECTOR!$B$2:$B$88,"")</f>
        <v/>
      </c>
      <c r="G750" t="str">
        <f>_xlfn.XLOOKUP(LEFT(A750,3),INDUSTRY!$A$2:$A$259,INDUSTRY!$A$2:$A$259,"")</f>
        <v>901</v>
      </c>
      <c r="H750" t="str">
        <f>_xlfn.XLOOKUP(LEFT(A750,3),INDUSTRY!$A$2:$A$259,INDUSTRY!$B$2:$B$259,"")</f>
        <v>Arts creation activities</v>
      </c>
      <c r="I750" t="str">
        <f t="shared" si="22"/>
        <v/>
      </c>
      <c r="J750" t="str">
        <f t="shared" si="23"/>
        <v/>
      </c>
    </row>
    <row r="751" spans="1:10" x14ac:dyDescent="0.25">
      <c r="A751" t="s">
        <v>2187</v>
      </c>
      <c r="B751" t="s">
        <v>2188</v>
      </c>
      <c r="C751" t="s">
        <v>2181</v>
      </c>
      <c r="D751" t="str">
        <f>_xlfn.XLOOKUP(ISIC_Rev_5_english_structure__1[[#This Row],[Column4]],INDUSTRYGROUP!$C$2:$C$23,INDUSTRYGROUP!$D$2:$D$23,"NONE")</f>
        <v>NONE</v>
      </c>
      <c r="E751" t="str">
        <f>_xlfn.XLOOKUP(LEFT(A751,2),SECTOR!$A$2:$A$88,SECTOR!$A$2:$A$88,"")</f>
        <v/>
      </c>
      <c r="F751" t="str">
        <f>_xlfn.XLOOKUP(LEFT(A751,2),SECTOR!$A$2:$A$88,SECTOR!$B$2:$B$88,"")</f>
        <v/>
      </c>
      <c r="G751" t="str">
        <f>_xlfn.XLOOKUP(LEFT(A751,3),INDUSTRY!$A$2:$A$259,INDUSTRY!$A$2:$A$259,"")</f>
        <v>901</v>
      </c>
      <c r="H751" t="str">
        <f>_xlfn.XLOOKUP(LEFT(A751,3),INDUSTRY!$A$2:$A$259,INDUSTRY!$B$2:$B$259,"")</f>
        <v>Arts creation activities</v>
      </c>
      <c r="I751" t="str">
        <f t="shared" si="22"/>
        <v>9011</v>
      </c>
      <c r="J751" t="str">
        <f t="shared" si="23"/>
        <v>Literary creation and musical composition activities</v>
      </c>
    </row>
    <row r="752" spans="1:10" x14ac:dyDescent="0.25">
      <c r="A752" t="s">
        <v>2189</v>
      </c>
      <c r="B752" t="s">
        <v>2190</v>
      </c>
      <c r="C752" t="s">
        <v>2181</v>
      </c>
      <c r="D752" t="str">
        <f>_xlfn.XLOOKUP(ISIC_Rev_5_english_structure__1[[#This Row],[Column4]],INDUSTRYGROUP!$C$2:$C$23,INDUSTRYGROUP!$D$2:$D$23,"NONE")</f>
        <v>NONE</v>
      </c>
      <c r="E752" t="str">
        <f>_xlfn.XLOOKUP(LEFT(A752,2),SECTOR!$A$2:$A$88,SECTOR!$A$2:$A$88,"")</f>
        <v/>
      </c>
      <c r="F752" t="str">
        <f>_xlfn.XLOOKUP(LEFT(A752,2),SECTOR!$A$2:$A$88,SECTOR!$B$2:$B$88,"")</f>
        <v/>
      </c>
      <c r="G752" t="str">
        <f>_xlfn.XLOOKUP(LEFT(A752,3),INDUSTRY!$A$2:$A$259,INDUSTRY!$A$2:$A$259,"")</f>
        <v>901</v>
      </c>
      <c r="H752" t="str">
        <f>_xlfn.XLOOKUP(LEFT(A752,3),INDUSTRY!$A$2:$A$259,INDUSTRY!$B$2:$B$259,"")</f>
        <v>Arts creation activities</v>
      </c>
      <c r="I752" t="str">
        <f t="shared" si="22"/>
        <v>9012</v>
      </c>
      <c r="J752" t="str">
        <f t="shared" si="23"/>
        <v xml:space="preserve">Visual arts creation activities </v>
      </c>
    </row>
    <row r="753" spans="1:10" x14ac:dyDescent="0.25">
      <c r="A753" t="s">
        <v>2191</v>
      </c>
      <c r="B753" t="s">
        <v>2192</v>
      </c>
      <c r="C753" t="s">
        <v>2181</v>
      </c>
      <c r="D753" t="str">
        <f>_xlfn.XLOOKUP(ISIC_Rev_5_english_structure__1[[#This Row],[Column4]],INDUSTRYGROUP!$C$2:$C$23,INDUSTRYGROUP!$D$2:$D$23,"NONE")</f>
        <v>NONE</v>
      </c>
      <c r="E753" t="str">
        <f>_xlfn.XLOOKUP(LEFT(A753,2),SECTOR!$A$2:$A$88,SECTOR!$A$2:$A$88,"")</f>
        <v/>
      </c>
      <c r="F753" t="str">
        <f>_xlfn.XLOOKUP(LEFT(A753,2),SECTOR!$A$2:$A$88,SECTOR!$B$2:$B$88,"")</f>
        <v/>
      </c>
      <c r="G753" t="str">
        <f>_xlfn.XLOOKUP(LEFT(A753,3),INDUSTRY!$A$2:$A$259,INDUSTRY!$A$2:$A$259,"")</f>
        <v>901</v>
      </c>
      <c r="H753" t="str">
        <f>_xlfn.XLOOKUP(LEFT(A753,3),INDUSTRY!$A$2:$A$259,INDUSTRY!$B$2:$B$259,"")</f>
        <v>Arts creation activities</v>
      </c>
      <c r="I753" t="str">
        <f t="shared" si="22"/>
        <v>9013</v>
      </c>
      <c r="J753" t="str">
        <f t="shared" si="23"/>
        <v xml:space="preserve">Other arts creation activities </v>
      </c>
    </row>
    <row r="754" spans="1:10" x14ac:dyDescent="0.25">
      <c r="A754" t="s">
        <v>2193</v>
      </c>
      <c r="B754" t="s">
        <v>2194</v>
      </c>
      <c r="C754" t="s">
        <v>2181</v>
      </c>
      <c r="D754" t="str">
        <f>_xlfn.XLOOKUP(ISIC_Rev_5_english_structure__1[[#This Row],[Column4]],INDUSTRYGROUP!$C$2:$C$23,INDUSTRYGROUP!$D$2:$D$23,"NONE")</f>
        <v>NONE</v>
      </c>
      <c r="E754" t="str">
        <f>_xlfn.XLOOKUP(LEFT(A754,2),SECTOR!$A$2:$A$88,SECTOR!$A$2:$A$88,"")</f>
        <v/>
      </c>
      <c r="F754" t="str">
        <f>_xlfn.XLOOKUP(LEFT(A754,2),SECTOR!$A$2:$A$88,SECTOR!$B$2:$B$88,"")</f>
        <v/>
      </c>
      <c r="G754" t="str">
        <f>_xlfn.XLOOKUP(LEFT(A754,3),INDUSTRY!$A$2:$A$259,INDUSTRY!$A$2:$A$259,"")</f>
        <v>902</v>
      </c>
      <c r="H754" t="str">
        <f>_xlfn.XLOOKUP(LEFT(A754,3),INDUSTRY!$A$2:$A$259,INDUSTRY!$B$2:$B$259,"")</f>
        <v xml:space="preserve">Activities of performing arts </v>
      </c>
      <c r="I754" t="str">
        <f t="shared" si="22"/>
        <v/>
      </c>
      <c r="J754" t="str">
        <f t="shared" si="23"/>
        <v/>
      </c>
    </row>
    <row r="755" spans="1:10" x14ac:dyDescent="0.25">
      <c r="A755" t="s">
        <v>2195</v>
      </c>
      <c r="B755" t="s">
        <v>2194</v>
      </c>
      <c r="C755" t="s">
        <v>2181</v>
      </c>
      <c r="D755" t="str">
        <f>_xlfn.XLOOKUP(ISIC_Rev_5_english_structure__1[[#This Row],[Column4]],INDUSTRYGROUP!$C$2:$C$23,INDUSTRYGROUP!$D$2:$D$23,"NONE")</f>
        <v>NONE</v>
      </c>
      <c r="E755" t="str">
        <f>_xlfn.XLOOKUP(LEFT(A755,2),SECTOR!$A$2:$A$88,SECTOR!$A$2:$A$88,"")</f>
        <v/>
      </c>
      <c r="F755" t="str">
        <f>_xlfn.XLOOKUP(LEFT(A755,2),SECTOR!$A$2:$A$88,SECTOR!$B$2:$B$88,"")</f>
        <v/>
      </c>
      <c r="G755" t="str">
        <f>_xlfn.XLOOKUP(LEFT(A755,3),INDUSTRY!$A$2:$A$259,INDUSTRY!$A$2:$A$259,"")</f>
        <v>902</v>
      </c>
      <c r="H755" t="str">
        <f>_xlfn.XLOOKUP(LEFT(A755,3),INDUSTRY!$A$2:$A$259,INDUSTRY!$B$2:$B$259,"")</f>
        <v xml:space="preserve">Activities of performing arts </v>
      </c>
      <c r="I755" t="str">
        <f t="shared" si="22"/>
        <v>9020</v>
      </c>
      <c r="J755" t="str">
        <f t="shared" si="23"/>
        <v xml:space="preserve">Activities of performing arts </v>
      </c>
    </row>
    <row r="756" spans="1:10" x14ac:dyDescent="0.25">
      <c r="A756" t="s">
        <v>2196</v>
      </c>
      <c r="B756" t="s">
        <v>2197</v>
      </c>
      <c r="C756" t="s">
        <v>2181</v>
      </c>
      <c r="D756" t="str">
        <f>_xlfn.XLOOKUP(ISIC_Rev_5_english_structure__1[[#This Row],[Column4]],INDUSTRYGROUP!$C$2:$C$23,INDUSTRYGROUP!$D$2:$D$23,"NONE")</f>
        <v>NONE</v>
      </c>
      <c r="E756" t="str">
        <f>_xlfn.XLOOKUP(LEFT(A756,2),SECTOR!$A$2:$A$88,SECTOR!$A$2:$A$88,"")</f>
        <v/>
      </c>
      <c r="F756" t="str">
        <f>_xlfn.XLOOKUP(LEFT(A756,2),SECTOR!$A$2:$A$88,SECTOR!$B$2:$B$88,"")</f>
        <v/>
      </c>
      <c r="G756" t="str">
        <f>_xlfn.XLOOKUP(LEFT(A756,3),INDUSTRY!$A$2:$A$259,INDUSTRY!$A$2:$A$259,"")</f>
        <v>903</v>
      </c>
      <c r="H756" t="str">
        <f>_xlfn.XLOOKUP(LEFT(A756,3),INDUSTRY!$A$2:$A$259,INDUSTRY!$B$2:$B$259,"")</f>
        <v>Support activities to arts creation and performing arts</v>
      </c>
      <c r="I756" t="str">
        <f t="shared" si="22"/>
        <v/>
      </c>
      <c r="J756" t="str">
        <f t="shared" si="23"/>
        <v/>
      </c>
    </row>
    <row r="757" spans="1:10" x14ac:dyDescent="0.25">
      <c r="A757" t="s">
        <v>2198</v>
      </c>
      <c r="B757" t="s">
        <v>2199</v>
      </c>
      <c r="C757" t="s">
        <v>2181</v>
      </c>
      <c r="D757" t="str">
        <f>_xlfn.XLOOKUP(ISIC_Rev_5_english_structure__1[[#This Row],[Column4]],INDUSTRYGROUP!$C$2:$C$23,INDUSTRYGROUP!$D$2:$D$23,"NONE")</f>
        <v>NONE</v>
      </c>
      <c r="E757" t="str">
        <f>_xlfn.XLOOKUP(LEFT(A757,2),SECTOR!$A$2:$A$88,SECTOR!$A$2:$A$88,"")</f>
        <v/>
      </c>
      <c r="F757" t="str">
        <f>_xlfn.XLOOKUP(LEFT(A757,2),SECTOR!$A$2:$A$88,SECTOR!$B$2:$B$88,"")</f>
        <v/>
      </c>
      <c r="G757" t="str">
        <f>_xlfn.XLOOKUP(LEFT(A757,3),INDUSTRY!$A$2:$A$259,INDUSTRY!$A$2:$A$259,"")</f>
        <v>903</v>
      </c>
      <c r="H757" t="str">
        <f>_xlfn.XLOOKUP(LEFT(A757,3),INDUSTRY!$A$2:$A$259,INDUSTRY!$B$2:$B$259,"")</f>
        <v>Support activities to arts creation and performing arts</v>
      </c>
      <c r="I757" t="str">
        <f t="shared" si="22"/>
        <v>9031</v>
      </c>
      <c r="J757" t="str">
        <f t="shared" si="23"/>
        <v xml:space="preserve">Operation of arts facilities and sites </v>
      </c>
    </row>
    <row r="758" spans="1:10" x14ac:dyDescent="0.25">
      <c r="A758" t="s">
        <v>2200</v>
      </c>
      <c r="B758" t="s">
        <v>2201</v>
      </c>
      <c r="C758" t="s">
        <v>2181</v>
      </c>
      <c r="D758" t="str">
        <f>_xlfn.XLOOKUP(ISIC_Rev_5_english_structure__1[[#This Row],[Column4]],INDUSTRYGROUP!$C$2:$C$23,INDUSTRYGROUP!$D$2:$D$23,"NONE")</f>
        <v>NONE</v>
      </c>
      <c r="E758" t="str">
        <f>_xlfn.XLOOKUP(LEFT(A758,2),SECTOR!$A$2:$A$88,SECTOR!$A$2:$A$88,"")</f>
        <v/>
      </c>
      <c r="F758" t="str">
        <f>_xlfn.XLOOKUP(LEFT(A758,2),SECTOR!$A$2:$A$88,SECTOR!$B$2:$B$88,"")</f>
        <v/>
      </c>
      <c r="G758" t="str">
        <f>_xlfn.XLOOKUP(LEFT(A758,3),INDUSTRY!$A$2:$A$259,INDUSTRY!$A$2:$A$259,"")</f>
        <v>903</v>
      </c>
      <c r="H758" t="str">
        <f>_xlfn.XLOOKUP(LEFT(A758,3),INDUSTRY!$A$2:$A$259,INDUSTRY!$B$2:$B$259,"")</f>
        <v>Support activities to arts creation and performing arts</v>
      </c>
      <c r="I758" t="str">
        <f t="shared" si="22"/>
        <v>9039</v>
      </c>
      <c r="J758" t="str">
        <f t="shared" si="23"/>
        <v>Other support activities to arts creation and performing arts</v>
      </c>
    </row>
    <row r="759" spans="1:10" x14ac:dyDescent="0.25">
      <c r="A759" t="s">
        <v>2202</v>
      </c>
      <c r="B759" t="s">
        <v>2203</v>
      </c>
      <c r="C759" t="s">
        <v>2181</v>
      </c>
      <c r="D759" t="str">
        <f>_xlfn.XLOOKUP(ISIC_Rev_5_english_structure__1[[#This Row],[Column4]],INDUSTRYGROUP!$C$2:$C$23,INDUSTRYGROUP!$D$2:$D$23,"NONE")</f>
        <v>NONE</v>
      </c>
      <c r="E759" t="str">
        <f>_xlfn.XLOOKUP(LEFT(A759,2),SECTOR!$A$2:$A$88,SECTOR!$A$2:$A$88,"")</f>
        <v/>
      </c>
      <c r="F759" t="str">
        <f>_xlfn.XLOOKUP(LEFT(A759,2),SECTOR!$A$2:$A$88,SECTOR!$B$2:$B$88,"")</f>
        <v/>
      </c>
      <c r="G759" t="str">
        <f>_xlfn.XLOOKUP(LEFT(A759,3),INDUSTRY!$A$2:$A$259,INDUSTRY!$A$2:$A$259,"")</f>
        <v/>
      </c>
      <c r="H759" t="str">
        <f>_xlfn.XLOOKUP(LEFT(A759,3),INDUSTRY!$A$2:$A$259,INDUSTRY!$B$2:$B$259,"")</f>
        <v/>
      </c>
      <c r="I759" t="str">
        <f t="shared" si="22"/>
        <v/>
      </c>
      <c r="J759" t="str">
        <f t="shared" si="23"/>
        <v/>
      </c>
    </row>
    <row r="760" spans="1:10" x14ac:dyDescent="0.25">
      <c r="A760" t="s">
        <v>2204</v>
      </c>
      <c r="B760" t="s">
        <v>2205</v>
      </c>
      <c r="C760" t="s">
        <v>2181</v>
      </c>
      <c r="D760" t="str">
        <f>_xlfn.XLOOKUP(ISIC_Rev_5_english_structure__1[[#This Row],[Column4]],INDUSTRYGROUP!$C$2:$C$23,INDUSTRYGROUP!$D$2:$D$23,"NONE")</f>
        <v>NONE</v>
      </c>
      <c r="E760" t="str">
        <f>_xlfn.XLOOKUP(LEFT(A760,2),SECTOR!$A$2:$A$88,SECTOR!$A$2:$A$88,"")</f>
        <v/>
      </c>
      <c r="F760" t="str">
        <f>_xlfn.XLOOKUP(LEFT(A760,2),SECTOR!$A$2:$A$88,SECTOR!$B$2:$B$88,"")</f>
        <v/>
      </c>
      <c r="G760" t="str">
        <f>_xlfn.XLOOKUP(LEFT(A760,3),INDUSTRY!$A$2:$A$259,INDUSTRY!$A$2:$A$259,"")</f>
        <v>911</v>
      </c>
      <c r="H760" t="str">
        <f>_xlfn.XLOOKUP(LEFT(A760,3),INDUSTRY!$A$2:$A$259,INDUSTRY!$B$2:$B$259,"")</f>
        <v>Library and archive activities</v>
      </c>
      <c r="I760" t="str">
        <f t="shared" si="22"/>
        <v/>
      </c>
      <c r="J760" t="str">
        <f t="shared" si="23"/>
        <v/>
      </c>
    </row>
    <row r="761" spans="1:10" x14ac:dyDescent="0.25">
      <c r="A761" t="s">
        <v>2206</v>
      </c>
      <c r="B761" t="s">
        <v>2207</v>
      </c>
      <c r="C761" t="s">
        <v>2181</v>
      </c>
      <c r="D761" t="str">
        <f>_xlfn.XLOOKUP(ISIC_Rev_5_english_structure__1[[#This Row],[Column4]],INDUSTRYGROUP!$C$2:$C$23,INDUSTRYGROUP!$D$2:$D$23,"NONE")</f>
        <v>NONE</v>
      </c>
      <c r="E761" t="str">
        <f>_xlfn.XLOOKUP(LEFT(A761,2),SECTOR!$A$2:$A$88,SECTOR!$A$2:$A$88,"")</f>
        <v/>
      </c>
      <c r="F761" t="str">
        <f>_xlfn.XLOOKUP(LEFT(A761,2),SECTOR!$A$2:$A$88,SECTOR!$B$2:$B$88,"")</f>
        <v/>
      </c>
      <c r="G761" t="str">
        <f>_xlfn.XLOOKUP(LEFT(A761,3),INDUSTRY!$A$2:$A$259,INDUSTRY!$A$2:$A$259,"")</f>
        <v>911</v>
      </c>
      <c r="H761" t="str">
        <f>_xlfn.XLOOKUP(LEFT(A761,3),INDUSTRY!$A$2:$A$259,INDUSTRY!$B$2:$B$259,"")</f>
        <v>Library and archive activities</v>
      </c>
      <c r="I761" t="str">
        <f t="shared" si="22"/>
        <v>9111</v>
      </c>
      <c r="J761" t="str">
        <f t="shared" si="23"/>
        <v>Library activities</v>
      </c>
    </row>
    <row r="762" spans="1:10" x14ac:dyDescent="0.25">
      <c r="A762" t="s">
        <v>2208</v>
      </c>
      <c r="B762" t="s">
        <v>2209</v>
      </c>
      <c r="C762" t="s">
        <v>2181</v>
      </c>
      <c r="D762" t="str">
        <f>_xlfn.XLOOKUP(ISIC_Rev_5_english_structure__1[[#This Row],[Column4]],INDUSTRYGROUP!$C$2:$C$23,INDUSTRYGROUP!$D$2:$D$23,"NONE")</f>
        <v>NONE</v>
      </c>
      <c r="E762" t="str">
        <f>_xlfn.XLOOKUP(LEFT(A762,2),SECTOR!$A$2:$A$88,SECTOR!$A$2:$A$88,"")</f>
        <v/>
      </c>
      <c r="F762" t="str">
        <f>_xlfn.XLOOKUP(LEFT(A762,2),SECTOR!$A$2:$A$88,SECTOR!$B$2:$B$88,"")</f>
        <v/>
      </c>
      <c r="G762" t="str">
        <f>_xlfn.XLOOKUP(LEFT(A762,3),INDUSTRY!$A$2:$A$259,INDUSTRY!$A$2:$A$259,"")</f>
        <v>911</v>
      </c>
      <c r="H762" t="str">
        <f>_xlfn.XLOOKUP(LEFT(A762,3),INDUSTRY!$A$2:$A$259,INDUSTRY!$B$2:$B$259,"")</f>
        <v>Library and archive activities</v>
      </c>
      <c r="I762" t="str">
        <f t="shared" si="22"/>
        <v>9112</v>
      </c>
      <c r="J762" t="str">
        <f t="shared" si="23"/>
        <v>Archive activities</v>
      </c>
    </row>
    <row r="763" spans="1:10" x14ac:dyDescent="0.25">
      <c r="A763" t="s">
        <v>2210</v>
      </c>
      <c r="B763" t="s">
        <v>2211</v>
      </c>
      <c r="C763" t="s">
        <v>2181</v>
      </c>
      <c r="D763" t="str">
        <f>_xlfn.XLOOKUP(ISIC_Rev_5_english_structure__1[[#This Row],[Column4]],INDUSTRYGROUP!$C$2:$C$23,INDUSTRYGROUP!$D$2:$D$23,"NONE")</f>
        <v>NONE</v>
      </c>
      <c r="E763" t="str">
        <f>_xlfn.XLOOKUP(LEFT(A763,2),SECTOR!$A$2:$A$88,SECTOR!$A$2:$A$88,"")</f>
        <v/>
      </c>
      <c r="F763" t="str">
        <f>_xlfn.XLOOKUP(LEFT(A763,2),SECTOR!$A$2:$A$88,SECTOR!$B$2:$B$88,"")</f>
        <v/>
      </c>
      <c r="G763" t="str">
        <f>_xlfn.XLOOKUP(LEFT(A763,3),INDUSTRY!$A$2:$A$259,INDUSTRY!$A$2:$A$259,"")</f>
        <v>912</v>
      </c>
      <c r="H763" t="str">
        <f>_xlfn.XLOOKUP(LEFT(A763,3),INDUSTRY!$A$2:$A$259,INDUSTRY!$B$2:$B$259,"")</f>
        <v>Museum, collection, historical site and monument activities</v>
      </c>
      <c r="I763" t="str">
        <f t="shared" si="22"/>
        <v/>
      </c>
      <c r="J763" t="str">
        <f t="shared" si="23"/>
        <v/>
      </c>
    </row>
    <row r="764" spans="1:10" x14ac:dyDescent="0.25">
      <c r="A764" t="s">
        <v>2212</v>
      </c>
      <c r="B764" t="s">
        <v>2213</v>
      </c>
      <c r="C764" t="s">
        <v>2181</v>
      </c>
      <c r="D764" t="str">
        <f>_xlfn.XLOOKUP(ISIC_Rev_5_english_structure__1[[#This Row],[Column4]],INDUSTRYGROUP!$C$2:$C$23,INDUSTRYGROUP!$D$2:$D$23,"NONE")</f>
        <v>NONE</v>
      </c>
      <c r="E764" t="str">
        <f>_xlfn.XLOOKUP(LEFT(A764,2),SECTOR!$A$2:$A$88,SECTOR!$A$2:$A$88,"")</f>
        <v/>
      </c>
      <c r="F764" t="str">
        <f>_xlfn.XLOOKUP(LEFT(A764,2),SECTOR!$A$2:$A$88,SECTOR!$B$2:$B$88,"")</f>
        <v/>
      </c>
      <c r="G764" t="str">
        <f>_xlfn.XLOOKUP(LEFT(A764,3),INDUSTRY!$A$2:$A$259,INDUSTRY!$A$2:$A$259,"")</f>
        <v>912</v>
      </c>
      <c r="H764" t="str">
        <f>_xlfn.XLOOKUP(LEFT(A764,3),INDUSTRY!$A$2:$A$259,INDUSTRY!$B$2:$B$259,"")</f>
        <v>Museum, collection, historical site and monument activities</v>
      </c>
      <c r="I764" t="str">
        <f t="shared" si="22"/>
        <v>9121</v>
      </c>
      <c r="J764" t="str">
        <f t="shared" si="23"/>
        <v xml:space="preserve">Museum and collection activities </v>
      </c>
    </row>
    <row r="765" spans="1:10" x14ac:dyDescent="0.25">
      <c r="A765" t="s">
        <v>2214</v>
      </c>
      <c r="B765" t="s">
        <v>2215</v>
      </c>
      <c r="C765" t="s">
        <v>2181</v>
      </c>
      <c r="D765" t="str">
        <f>_xlfn.XLOOKUP(ISIC_Rev_5_english_structure__1[[#This Row],[Column4]],INDUSTRYGROUP!$C$2:$C$23,INDUSTRYGROUP!$D$2:$D$23,"NONE")</f>
        <v>NONE</v>
      </c>
      <c r="E765" t="str">
        <f>_xlfn.XLOOKUP(LEFT(A765,2),SECTOR!$A$2:$A$88,SECTOR!$A$2:$A$88,"")</f>
        <v/>
      </c>
      <c r="F765" t="str">
        <f>_xlfn.XLOOKUP(LEFT(A765,2),SECTOR!$A$2:$A$88,SECTOR!$B$2:$B$88,"")</f>
        <v/>
      </c>
      <c r="G765" t="str">
        <f>_xlfn.XLOOKUP(LEFT(A765,3),INDUSTRY!$A$2:$A$259,INDUSTRY!$A$2:$A$259,"")</f>
        <v>912</v>
      </c>
      <c r="H765" t="str">
        <f>_xlfn.XLOOKUP(LEFT(A765,3),INDUSTRY!$A$2:$A$259,INDUSTRY!$B$2:$B$259,"")</f>
        <v>Museum, collection, historical site and monument activities</v>
      </c>
      <c r="I765" t="str">
        <f t="shared" si="22"/>
        <v>9122</v>
      </c>
      <c r="J765" t="str">
        <f t="shared" si="23"/>
        <v>Historical site and monument activities</v>
      </c>
    </row>
    <row r="766" spans="1:10" x14ac:dyDescent="0.25">
      <c r="A766" t="s">
        <v>2216</v>
      </c>
      <c r="B766" t="s">
        <v>2217</v>
      </c>
      <c r="C766" t="s">
        <v>2181</v>
      </c>
      <c r="D766" t="str">
        <f>_xlfn.XLOOKUP(ISIC_Rev_5_english_structure__1[[#This Row],[Column4]],INDUSTRYGROUP!$C$2:$C$23,INDUSTRYGROUP!$D$2:$D$23,"NONE")</f>
        <v>NONE</v>
      </c>
      <c r="E766" t="str">
        <f>_xlfn.XLOOKUP(LEFT(A766,2),SECTOR!$A$2:$A$88,SECTOR!$A$2:$A$88,"")</f>
        <v/>
      </c>
      <c r="F766" t="str">
        <f>_xlfn.XLOOKUP(LEFT(A766,2),SECTOR!$A$2:$A$88,SECTOR!$B$2:$B$88,"")</f>
        <v/>
      </c>
      <c r="G766" t="str">
        <f>_xlfn.XLOOKUP(LEFT(A766,3),INDUSTRY!$A$2:$A$259,INDUSTRY!$A$2:$A$259,"")</f>
        <v>913</v>
      </c>
      <c r="H766" t="str">
        <f>_xlfn.XLOOKUP(LEFT(A766,3),INDUSTRY!$A$2:$A$259,INDUSTRY!$B$2:$B$259,"")</f>
        <v xml:space="preserve">Conservation, restoration and other support activities for cultural heritage </v>
      </c>
      <c r="I766" t="str">
        <f t="shared" si="22"/>
        <v/>
      </c>
      <c r="J766" t="str">
        <f t="shared" si="23"/>
        <v/>
      </c>
    </row>
    <row r="767" spans="1:10" x14ac:dyDescent="0.25">
      <c r="A767" t="s">
        <v>2218</v>
      </c>
      <c r="B767" t="s">
        <v>2217</v>
      </c>
      <c r="C767" t="s">
        <v>2181</v>
      </c>
      <c r="D767" t="str">
        <f>_xlfn.XLOOKUP(ISIC_Rev_5_english_structure__1[[#This Row],[Column4]],INDUSTRYGROUP!$C$2:$C$23,INDUSTRYGROUP!$D$2:$D$23,"NONE")</f>
        <v>NONE</v>
      </c>
      <c r="E767" t="str">
        <f>_xlfn.XLOOKUP(LEFT(A767,2),SECTOR!$A$2:$A$88,SECTOR!$A$2:$A$88,"")</f>
        <v/>
      </c>
      <c r="F767" t="str">
        <f>_xlfn.XLOOKUP(LEFT(A767,2),SECTOR!$A$2:$A$88,SECTOR!$B$2:$B$88,"")</f>
        <v/>
      </c>
      <c r="G767" t="str">
        <f>_xlfn.XLOOKUP(LEFT(A767,3),INDUSTRY!$A$2:$A$259,INDUSTRY!$A$2:$A$259,"")</f>
        <v>913</v>
      </c>
      <c r="H767" t="str">
        <f>_xlfn.XLOOKUP(LEFT(A767,3),INDUSTRY!$A$2:$A$259,INDUSTRY!$B$2:$B$259,"")</f>
        <v xml:space="preserve">Conservation, restoration and other support activities for cultural heritage </v>
      </c>
      <c r="I767" t="str">
        <f t="shared" si="22"/>
        <v>9130</v>
      </c>
      <c r="J767" t="str">
        <f t="shared" si="23"/>
        <v xml:space="preserve">Conservation, restoration and other support activities for cultural heritage </v>
      </c>
    </row>
    <row r="768" spans="1:10" x14ac:dyDescent="0.25">
      <c r="A768" t="s">
        <v>2219</v>
      </c>
      <c r="B768" t="s">
        <v>2220</v>
      </c>
      <c r="C768" t="s">
        <v>2181</v>
      </c>
      <c r="D768" t="str">
        <f>_xlfn.XLOOKUP(ISIC_Rev_5_english_structure__1[[#This Row],[Column4]],INDUSTRYGROUP!$C$2:$C$23,INDUSTRYGROUP!$D$2:$D$23,"NONE")</f>
        <v>NONE</v>
      </c>
      <c r="E768" t="str">
        <f>_xlfn.XLOOKUP(LEFT(A768,2),SECTOR!$A$2:$A$88,SECTOR!$A$2:$A$88,"")</f>
        <v/>
      </c>
      <c r="F768" t="str">
        <f>_xlfn.XLOOKUP(LEFT(A768,2),SECTOR!$A$2:$A$88,SECTOR!$B$2:$B$88,"")</f>
        <v/>
      </c>
      <c r="G768" t="str">
        <f>_xlfn.XLOOKUP(LEFT(A768,3),INDUSTRY!$A$2:$A$259,INDUSTRY!$A$2:$A$259,"")</f>
        <v>914</v>
      </c>
      <c r="H768" t="str">
        <f>_xlfn.XLOOKUP(LEFT(A768,3),INDUSTRY!$A$2:$A$259,INDUSTRY!$B$2:$B$259,"")</f>
        <v>Botanical and zoological garden and nature reserve activities</v>
      </c>
      <c r="I768" t="str">
        <f t="shared" si="22"/>
        <v/>
      </c>
      <c r="J768" t="str">
        <f t="shared" si="23"/>
        <v/>
      </c>
    </row>
    <row r="769" spans="1:10" x14ac:dyDescent="0.25">
      <c r="A769" t="s">
        <v>2221</v>
      </c>
      <c r="B769" t="s">
        <v>2222</v>
      </c>
      <c r="C769" t="s">
        <v>2181</v>
      </c>
      <c r="D769" t="str">
        <f>_xlfn.XLOOKUP(ISIC_Rev_5_english_structure__1[[#This Row],[Column4]],INDUSTRYGROUP!$C$2:$C$23,INDUSTRYGROUP!$D$2:$D$23,"NONE")</f>
        <v>NONE</v>
      </c>
      <c r="E769" t="str">
        <f>_xlfn.XLOOKUP(LEFT(A769,2),SECTOR!$A$2:$A$88,SECTOR!$A$2:$A$88,"")</f>
        <v/>
      </c>
      <c r="F769" t="str">
        <f>_xlfn.XLOOKUP(LEFT(A769,2),SECTOR!$A$2:$A$88,SECTOR!$B$2:$B$88,"")</f>
        <v/>
      </c>
      <c r="G769" t="str">
        <f>_xlfn.XLOOKUP(LEFT(A769,3),INDUSTRY!$A$2:$A$259,INDUSTRY!$A$2:$A$259,"")</f>
        <v>914</v>
      </c>
      <c r="H769" t="str">
        <f>_xlfn.XLOOKUP(LEFT(A769,3),INDUSTRY!$A$2:$A$259,INDUSTRY!$B$2:$B$259,"")</f>
        <v>Botanical and zoological garden and nature reserve activities</v>
      </c>
      <c r="I769" t="str">
        <f t="shared" si="22"/>
        <v>9141</v>
      </c>
      <c r="J769" t="str">
        <f t="shared" si="23"/>
        <v xml:space="preserve">Botanical and zoological garden activities </v>
      </c>
    </row>
    <row r="770" spans="1:10" x14ac:dyDescent="0.25">
      <c r="A770" t="s">
        <v>2223</v>
      </c>
      <c r="B770" t="s">
        <v>2224</v>
      </c>
      <c r="C770" t="s">
        <v>2181</v>
      </c>
      <c r="D770" t="str">
        <f>_xlfn.XLOOKUP(ISIC_Rev_5_english_structure__1[[#This Row],[Column4]],INDUSTRYGROUP!$C$2:$C$23,INDUSTRYGROUP!$D$2:$D$23,"NONE")</f>
        <v>NONE</v>
      </c>
      <c r="E770" t="str">
        <f>_xlfn.XLOOKUP(LEFT(A770,2),SECTOR!$A$2:$A$88,SECTOR!$A$2:$A$88,"")</f>
        <v/>
      </c>
      <c r="F770" t="str">
        <f>_xlfn.XLOOKUP(LEFT(A770,2),SECTOR!$A$2:$A$88,SECTOR!$B$2:$B$88,"")</f>
        <v/>
      </c>
      <c r="G770" t="str">
        <f>_xlfn.XLOOKUP(LEFT(A770,3),INDUSTRY!$A$2:$A$259,INDUSTRY!$A$2:$A$259,"")</f>
        <v>914</v>
      </c>
      <c r="H770" t="str">
        <f>_xlfn.XLOOKUP(LEFT(A770,3),INDUSTRY!$A$2:$A$259,INDUSTRY!$B$2:$B$259,"")</f>
        <v>Botanical and zoological garden and nature reserve activities</v>
      </c>
      <c r="I770" t="str">
        <f t="shared" ref="I770:I832" si="24">IF(LEN(A770)=4,A770,"")</f>
        <v>9142</v>
      </c>
      <c r="J770" t="str">
        <f t="shared" ref="J770:J832" si="25">IF(LEN(A770)=4,B770,"")</f>
        <v>Nature reserve activities</v>
      </c>
    </row>
    <row r="771" spans="1:10" x14ac:dyDescent="0.25">
      <c r="A771" t="s">
        <v>2225</v>
      </c>
      <c r="B771" t="s">
        <v>2226</v>
      </c>
      <c r="C771" t="s">
        <v>2181</v>
      </c>
      <c r="D771" t="str">
        <f>_xlfn.XLOOKUP(ISIC_Rev_5_english_structure__1[[#This Row],[Column4]],INDUSTRYGROUP!$C$2:$C$23,INDUSTRYGROUP!$D$2:$D$23,"NONE")</f>
        <v>NONE</v>
      </c>
      <c r="E771" t="str">
        <f>_xlfn.XLOOKUP(LEFT(A771,2),SECTOR!$A$2:$A$88,SECTOR!$A$2:$A$88,"")</f>
        <v/>
      </c>
      <c r="F771" t="str">
        <f>_xlfn.XLOOKUP(LEFT(A771,2),SECTOR!$A$2:$A$88,SECTOR!$B$2:$B$88,"")</f>
        <v/>
      </c>
      <c r="G771" t="str">
        <f>_xlfn.XLOOKUP(LEFT(A771,3),INDUSTRY!$A$2:$A$259,INDUSTRY!$A$2:$A$259,"")</f>
        <v/>
      </c>
      <c r="H771" t="str">
        <f>_xlfn.XLOOKUP(LEFT(A771,3),INDUSTRY!$A$2:$A$259,INDUSTRY!$B$2:$B$259,"")</f>
        <v/>
      </c>
      <c r="I771" t="str">
        <f t="shared" si="24"/>
        <v/>
      </c>
      <c r="J771" t="str">
        <f t="shared" si="25"/>
        <v/>
      </c>
    </row>
    <row r="772" spans="1:10" x14ac:dyDescent="0.25">
      <c r="A772" t="s">
        <v>2227</v>
      </c>
      <c r="B772" t="s">
        <v>2226</v>
      </c>
      <c r="C772" t="s">
        <v>2181</v>
      </c>
      <c r="D772" t="str">
        <f>_xlfn.XLOOKUP(ISIC_Rev_5_english_structure__1[[#This Row],[Column4]],INDUSTRYGROUP!$C$2:$C$23,INDUSTRYGROUP!$D$2:$D$23,"NONE")</f>
        <v>NONE</v>
      </c>
      <c r="E772" t="str">
        <f>_xlfn.XLOOKUP(LEFT(A772,2),SECTOR!$A$2:$A$88,SECTOR!$A$2:$A$88,"")</f>
        <v/>
      </c>
      <c r="F772" t="str">
        <f>_xlfn.XLOOKUP(LEFT(A772,2),SECTOR!$A$2:$A$88,SECTOR!$B$2:$B$88,"")</f>
        <v/>
      </c>
      <c r="G772" t="str">
        <f>_xlfn.XLOOKUP(LEFT(A772,3),INDUSTRY!$A$2:$A$259,INDUSTRY!$A$2:$A$259,"")</f>
        <v>920</v>
      </c>
      <c r="H772" t="str">
        <f>_xlfn.XLOOKUP(LEFT(A772,3),INDUSTRY!$A$2:$A$259,INDUSTRY!$B$2:$B$259,"")</f>
        <v>Gambling and betting activities</v>
      </c>
      <c r="I772" t="str">
        <f t="shared" si="24"/>
        <v/>
      </c>
      <c r="J772" t="str">
        <f t="shared" si="25"/>
        <v/>
      </c>
    </row>
    <row r="773" spans="1:10" x14ac:dyDescent="0.25">
      <c r="A773" t="s">
        <v>2228</v>
      </c>
      <c r="B773" t="s">
        <v>2226</v>
      </c>
      <c r="C773" t="s">
        <v>2181</v>
      </c>
      <c r="D773" t="str">
        <f>_xlfn.XLOOKUP(ISIC_Rev_5_english_structure__1[[#This Row],[Column4]],INDUSTRYGROUP!$C$2:$C$23,INDUSTRYGROUP!$D$2:$D$23,"NONE")</f>
        <v>NONE</v>
      </c>
      <c r="E773" t="str">
        <f>_xlfn.XLOOKUP(LEFT(A773,2),SECTOR!$A$2:$A$88,SECTOR!$A$2:$A$88,"")</f>
        <v/>
      </c>
      <c r="F773" t="str">
        <f>_xlfn.XLOOKUP(LEFT(A773,2),SECTOR!$A$2:$A$88,SECTOR!$B$2:$B$88,"")</f>
        <v/>
      </c>
      <c r="G773" t="str">
        <f>_xlfn.XLOOKUP(LEFT(A773,3),INDUSTRY!$A$2:$A$259,INDUSTRY!$A$2:$A$259,"")</f>
        <v>920</v>
      </c>
      <c r="H773" t="str">
        <f>_xlfn.XLOOKUP(LEFT(A773,3),INDUSTRY!$A$2:$A$259,INDUSTRY!$B$2:$B$259,"")</f>
        <v>Gambling and betting activities</v>
      </c>
      <c r="I773" t="str">
        <f t="shared" si="24"/>
        <v>9200</v>
      </c>
      <c r="J773" t="str">
        <f t="shared" si="25"/>
        <v>Gambling and betting activities</v>
      </c>
    </row>
    <row r="774" spans="1:10" x14ac:dyDescent="0.25">
      <c r="A774" t="s">
        <v>2229</v>
      </c>
      <c r="B774" t="s">
        <v>2230</v>
      </c>
      <c r="C774" t="s">
        <v>2181</v>
      </c>
      <c r="D774" t="str">
        <f>_xlfn.XLOOKUP(ISIC_Rev_5_english_structure__1[[#This Row],[Column4]],INDUSTRYGROUP!$C$2:$C$23,INDUSTRYGROUP!$D$2:$D$23,"NONE")</f>
        <v>NONE</v>
      </c>
      <c r="E774" t="str">
        <f>_xlfn.XLOOKUP(LEFT(A774,2),SECTOR!$A$2:$A$88,SECTOR!$A$2:$A$88,"")</f>
        <v/>
      </c>
      <c r="F774" t="str">
        <f>_xlfn.XLOOKUP(LEFT(A774,2),SECTOR!$A$2:$A$88,SECTOR!$B$2:$B$88,"")</f>
        <v/>
      </c>
      <c r="G774" t="str">
        <f>_xlfn.XLOOKUP(LEFT(A774,3),INDUSTRY!$A$2:$A$259,INDUSTRY!$A$2:$A$259,"")</f>
        <v/>
      </c>
      <c r="H774" t="str">
        <f>_xlfn.XLOOKUP(LEFT(A774,3),INDUSTRY!$A$2:$A$259,INDUSTRY!$B$2:$B$259,"")</f>
        <v/>
      </c>
      <c r="I774" t="str">
        <f t="shared" si="24"/>
        <v/>
      </c>
      <c r="J774" t="str">
        <f t="shared" si="25"/>
        <v/>
      </c>
    </row>
    <row r="775" spans="1:10" x14ac:dyDescent="0.25">
      <c r="A775" t="s">
        <v>2231</v>
      </c>
      <c r="B775" t="s">
        <v>2232</v>
      </c>
      <c r="C775" t="s">
        <v>2181</v>
      </c>
      <c r="D775" t="str">
        <f>_xlfn.XLOOKUP(ISIC_Rev_5_english_structure__1[[#This Row],[Column4]],INDUSTRYGROUP!$C$2:$C$23,INDUSTRYGROUP!$D$2:$D$23,"NONE")</f>
        <v>NONE</v>
      </c>
      <c r="E775" t="str">
        <f>_xlfn.XLOOKUP(LEFT(A775,2),SECTOR!$A$2:$A$88,SECTOR!$A$2:$A$88,"")</f>
        <v/>
      </c>
      <c r="F775" t="str">
        <f>_xlfn.XLOOKUP(LEFT(A775,2),SECTOR!$A$2:$A$88,SECTOR!$B$2:$B$88,"")</f>
        <v/>
      </c>
      <c r="G775" t="str">
        <f>_xlfn.XLOOKUP(LEFT(A775,3),INDUSTRY!$A$2:$A$259,INDUSTRY!$A$2:$A$259,"")</f>
        <v>931</v>
      </c>
      <c r="H775" t="str">
        <f>_xlfn.XLOOKUP(LEFT(A775,3),INDUSTRY!$A$2:$A$259,INDUSTRY!$B$2:$B$259,"")</f>
        <v xml:space="preserve">Sports activities </v>
      </c>
      <c r="I775" t="str">
        <f t="shared" si="24"/>
        <v/>
      </c>
      <c r="J775" t="str">
        <f t="shared" si="25"/>
        <v/>
      </c>
    </row>
    <row r="776" spans="1:10" x14ac:dyDescent="0.25">
      <c r="A776" t="s">
        <v>2233</v>
      </c>
      <c r="B776" t="s">
        <v>2234</v>
      </c>
      <c r="C776" t="s">
        <v>2181</v>
      </c>
      <c r="D776" t="str">
        <f>_xlfn.XLOOKUP(ISIC_Rev_5_english_structure__1[[#This Row],[Column4]],INDUSTRYGROUP!$C$2:$C$23,INDUSTRYGROUP!$D$2:$D$23,"NONE")</f>
        <v>NONE</v>
      </c>
      <c r="E776" t="str">
        <f>_xlfn.XLOOKUP(LEFT(A776,2),SECTOR!$A$2:$A$88,SECTOR!$A$2:$A$88,"")</f>
        <v/>
      </c>
      <c r="F776" t="str">
        <f>_xlfn.XLOOKUP(LEFT(A776,2),SECTOR!$A$2:$A$88,SECTOR!$B$2:$B$88,"")</f>
        <v/>
      </c>
      <c r="G776" t="str">
        <f>_xlfn.XLOOKUP(LEFT(A776,3),INDUSTRY!$A$2:$A$259,INDUSTRY!$A$2:$A$259,"")</f>
        <v>931</v>
      </c>
      <c r="H776" t="str">
        <f>_xlfn.XLOOKUP(LEFT(A776,3),INDUSTRY!$A$2:$A$259,INDUSTRY!$B$2:$B$259,"")</f>
        <v xml:space="preserve">Sports activities </v>
      </c>
      <c r="I776" t="str">
        <f t="shared" si="24"/>
        <v>9311</v>
      </c>
      <c r="J776" t="str">
        <f t="shared" si="25"/>
        <v>Operation of sports facilities</v>
      </c>
    </row>
    <row r="777" spans="1:10" x14ac:dyDescent="0.25">
      <c r="A777" t="s">
        <v>2235</v>
      </c>
      <c r="B777" t="s">
        <v>2236</v>
      </c>
      <c r="C777" t="s">
        <v>2181</v>
      </c>
      <c r="D777" t="str">
        <f>_xlfn.XLOOKUP(ISIC_Rev_5_english_structure__1[[#This Row],[Column4]],INDUSTRYGROUP!$C$2:$C$23,INDUSTRYGROUP!$D$2:$D$23,"NONE")</f>
        <v>NONE</v>
      </c>
      <c r="E777" t="str">
        <f>_xlfn.XLOOKUP(LEFT(A777,2),SECTOR!$A$2:$A$88,SECTOR!$A$2:$A$88,"")</f>
        <v/>
      </c>
      <c r="F777" t="str">
        <f>_xlfn.XLOOKUP(LEFT(A777,2),SECTOR!$A$2:$A$88,SECTOR!$B$2:$B$88,"")</f>
        <v/>
      </c>
      <c r="G777" t="str">
        <f>_xlfn.XLOOKUP(LEFT(A777,3),INDUSTRY!$A$2:$A$259,INDUSTRY!$A$2:$A$259,"")</f>
        <v>931</v>
      </c>
      <c r="H777" t="str">
        <f>_xlfn.XLOOKUP(LEFT(A777,3),INDUSTRY!$A$2:$A$259,INDUSTRY!$B$2:$B$259,"")</f>
        <v xml:space="preserve">Sports activities </v>
      </c>
      <c r="I777" t="str">
        <f t="shared" si="24"/>
        <v>9312</v>
      </c>
      <c r="J777" t="str">
        <f t="shared" si="25"/>
        <v xml:space="preserve">Activities of sports clubs </v>
      </c>
    </row>
    <row r="778" spans="1:10" x14ac:dyDescent="0.25">
      <c r="A778" t="s">
        <v>2237</v>
      </c>
      <c r="B778" t="s">
        <v>2238</v>
      </c>
      <c r="C778" t="s">
        <v>2181</v>
      </c>
      <c r="D778" t="str">
        <f>_xlfn.XLOOKUP(ISIC_Rev_5_english_structure__1[[#This Row],[Column4]],INDUSTRYGROUP!$C$2:$C$23,INDUSTRYGROUP!$D$2:$D$23,"NONE")</f>
        <v>NONE</v>
      </c>
      <c r="E778" t="str">
        <f>_xlfn.XLOOKUP(LEFT(A778,2),SECTOR!$A$2:$A$88,SECTOR!$A$2:$A$88,"")</f>
        <v/>
      </c>
      <c r="F778" t="str">
        <f>_xlfn.XLOOKUP(LEFT(A778,2),SECTOR!$A$2:$A$88,SECTOR!$B$2:$B$88,"")</f>
        <v/>
      </c>
      <c r="G778" t="str">
        <f>_xlfn.XLOOKUP(LEFT(A778,3),INDUSTRY!$A$2:$A$259,INDUSTRY!$A$2:$A$259,"")</f>
        <v>931</v>
      </c>
      <c r="H778" t="str">
        <f>_xlfn.XLOOKUP(LEFT(A778,3),INDUSTRY!$A$2:$A$259,INDUSTRY!$B$2:$B$259,"")</f>
        <v xml:space="preserve">Sports activities </v>
      </c>
      <c r="I778" t="str">
        <f t="shared" si="24"/>
        <v>9319</v>
      </c>
      <c r="J778" t="str">
        <f t="shared" si="25"/>
        <v xml:space="preserve">Other sports activities </v>
      </c>
    </row>
    <row r="779" spans="1:10" x14ac:dyDescent="0.25">
      <c r="A779" t="s">
        <v>2239</v>
      </c>
      <c r="B779" t="s">
        <v>2240</v>
      </c>
      <c r="C779" t="s">
        <v>2181</v>
      </c>
      <c r="D779" t="str">
        <f>_xlfn.XLOOKUP(ISIC_Rev_5_english_structure__1[[#This Row],[Column4]],INDUSTRYGROUP!$C$2:$C$23,INDUSTRYGROUP!$D$2:$D$23,"NONE")</f>
        <v>NONE</v>
      </c>
      <c r="E779" t="str">
        <f>_xlfn.XLOOKUP(LEFT(A779,2),SECTOR!$A$2:$A$88,SECTOR!$A$2:$A$88,"")</f>
        <v/>
      </c>
      <c r="F779" t="str">
        <f>_xlfn.XLOOKUP(LEFT(A779,2),SECTOR!$A$2:$A$88,SECTOR!$B$2:$B$88,"")</f>
        <v/>
      </c>
      <c r="G779" t="str">
        <f>_xlfn.XLOOKUP(LEFT(A779,3),INDUSTRY!$A$2:$A$259,INDUSTRY!$A$2:$A$259,"")</f>
        <v>932</v>
      </c>
      <c r="H779" t="str">
        <f>_xlfn.XLOOKUP(LEFT(A779,3),INDUSTRY!$A$2:$A$259,INDUSTRY!$B$2:$B$259,"")</f>
        <v xml:space="preserve">Amusement and recreation activities </v>
      </c>
      <c r="I779" t="str">
        <f t="shared" si="24"/>
        <v/>
      </c>
      <c r="J779" t="str">
        <f t="shared" si="25"/>
        <v/>
      </c>
    </row>
    <row r="780" spans="1:10" x14ac:dyDescent="0.25">
      <c r="A780" t="s">
        <v>2241</v>
      </c>
      <c r="B780" t="s">
        <v>2242</v>
      </c>
      <c r="C780" t="s">
        <v>2181</v>
      </c>
      <c r="D780" t="str">
        <f>_xlfn.XLOOKUP(ISIC_Rev_5_english_structure__1[[#This Row],[Column4]],INDUSTRYGROUP!$C$2:$C$23,INDUSTRYGROUP!$D$2:$D$23,"NONE")</f>
        <v>NONE</v>
      </c>
      <c r="E780" t="str">
        <f>_xlfn.XLOOKUP(LEFT(A780,2),SECTOR!$A$2:$A$88,SECTOR!$A$2:$A$88,"")</f>
        <v/>
      </c>
      <c r="F780" t="str">
        <f>_xlfn.XLOOKUP(LEFT(A780,2),SECTOR!$A$2:$A$88,SECTOR!$B$2:$B$88,"")</f>
        <v/>
      </c>
      <c r="G780" t="str">
        <f>_xlfn.XLOOKUP(LEFT(A780,3),INDUSTRY!$A$2:$A$259,INDUSTRY!$A$2:$A$259,"")</f>
        <v>932</v>
      </c>
      <c r="H780" t="str">
        <f>_xlfn.XLOOKUP(LEFT(A780,3),INDUSTRY!$A$2:$A$259,INDUSTRY!$B$2:$B$259,"")</f>
        <v xml:space="preserve">Amusement and recreation activities </v>
      </c>
      <c r="I780" t="str">
        <f t="shared" si="24"/>
        <v>9321</v>
      </c>
      <c r="J780" t="str">
        <f t="shared" si="25"/>
        <v>Activities of amusement parks and theme parks</v>
      </c>
    </row>
    <row r="781" spans="1:10" x14ac:dyDescent="0.25">
      <c r="A781" t="s">
        <v>2243</v>
      </c>
      <c r="B781" t="s">
        <v>2244</v>
      </c>
      <c r="C781" t="s">
        <v>2181</v>
      </c>
      <c r="D781" t="str">
        <f>_xlfn.XLOOKUP(ISIC_Rev_5_english_structure__1[[#This Row],[Column4]],INDUSTRYGROUP!$C$2:$C$23,INDUSTRYGROUP!$D$2:$D$23,"NONE")</f>
        <v>NONE</v>
      </c>
      <c r="E781" t="str">
        <f>_xlfn.XLOOKUP(LEFT(A781,2),SECTOR!$A$2:$A$88,SECTOR!$A$2:$A$88,"")</f>
        <v/>
      </c>
      <c r="F781" t="str">
        <f>_xlfn.XLOOKUP(LEFT(A781,2),SECTOR!$A$2:$A$88,SECTOR!$B$2:$B$88,"")</f>
        <v/>
      </c>
      <c r="G781" t="str">
        <f>_xlfn.XLOOKUP(LEFT(A781,3),INDUSTRY!$A$2:$A$259,INDUSTRY!$A$2:$A$259,"")</f>
        <v>932</v>
      </c>
      <c r="H781" t="str">
        <f>_xlfn.XLOOKUP(LEFT(A781,3),INDUSTRY!$A$2:$A$259,INDUSTRY!$B$2:$B$259,"")</f>
        <v xml:space="preserve">Amusement and recreation activities </v>
      </c>
      <c r="I781" t="str">
        <f t="shared" si="24"/>
        <v>9329</v>
      </c>
      <c r="J781" t="str">
        <f t="shared" si="25"/>
        <v>Other amusement and recreation activities</v>
      </c>
    </row>
    <row r="782" spans="1:10" x14ac:dyDescent="0.25">
      <c r="A782" t="s">
        <v>2245</v>
      </c>
      <c r="B782" t="s">
        <v>2246</v>
      </c>
      <c r="C782" t="s">
        <v>2245</v>
      </c>
      <c r="D782" t="str">
        <f>_xlfn.XLOOKUP(ISIC_Rev_5_english_structure__1[[#This Row],[Column4]],INDUSTRYGROUP!$C$2:$C$23,INDUSTRYGROUP!$D$2:$D$23,"NONE")</f>
        <v>NONE</v>
      </c>
      <c r="E782" t="str">
        <f>_xlfn.XLOOKUP(LEFT(A782,2),SECTOR!$A$2:$A$88,SECTOR!$A$2:$A$88,"")</f>
        <v>T</v>
      </c>
      <c r="F782" t="str">
        <f>_xlfn.XLOOKUP(LEFT(A782,2),SECTOR!$A$2:$A$88,SECTOR!$B$2:$B$88,"")</f>
        <v>Other service activities</v>
      </c>
      <c r="G782" t="str">
        <f>_xlfn.XLOOKUP(LEFT(A782,3),INDUSTRY!$A$2:$A$259,INDUSTRY!$A$2:$A$259,"")</f>
        <v/>
      </c>
      <c r="H782" t="str">
        <f>_xlfn.XLOOKUP(LEFT(A782,3),INDUSTRY!$A$2:$A$259,INDUSTRY!$B$2:$B$259,"")</f>
        <v/>
      </c>
      <c r="I782" t="str">
        <f t="shared" si="24"/>
        <v/>
      </c>
      <c r="J782" t="str">
        <f t="shared" si="25"/>
        <v/>
      </c>
    </row>
    <row r="783" spans="1:10" x14ac:dyDescent="0.25">
      <c r="A783" t="s">
        <v>2247</v>
      </c>
      <c r="B783" t="s">
        <v>2248</v>
      </c>
      <c r="C783" t="s">
        <v>2245</v>
      </c>
      <c r="D783" t="str">
        <f>_xlfn.XLOOKUP(ISIC_Rev_5_english_structure__1[[#This Row],[Column4]],INDUSTRYGROUP!$C$2:$C$23,INDUSTRYGROUP!$D$2:$D$23,"NONE")</f>
        <v>NONE</v>
      </c>
      <c r="E783" t="str">
        <f>_xlfn.XLOOKUP(LEFT(A783,2),SECTOR!$A$2:$A$88,SECTOR!$A$2:$A$88,"")</f>
        <v/>
      </c>
      <c r="F783" t="str">
        <f>_xlfn.XLOOKUP(LEFT(A783,2),SECTOR!$A$2:$A$88,SECTOR!$B$2:$B$88,"")</f>
        <v/>
      </c>
      <c r="G783" t="str">
        <f>_xlfn.XLOOKUP(LEFT(A783,3),INDUSTRY!$A$2:$A$259,INDUSTRY!$A$2:$A$259,"")</f>
        <v/>
      </c>
      <c r="H783" t="str">
        <f>_xlfn.XLOOKUP(LEFT(A783,3),INDUSTRY!$A$2:$A$259,INDUSTRY!$B$2:$B$259,"")</f>
        <v/>
      </c>
      <c r="I783" t="str">
        <f t="shared" si="24"/>
        <v/>
      </c>
      <c r="J783" t="str">
        <f t="shared" si="25"/>
        <v/>
      </c>
    </row>
    <row r="784" spans="1:10" x14ac:dyDescent="0.25">
      <c r="A784" t="s">
        <v>2249</v>
      </c>
      <c r="B784" t="s">
        <v>2250</v>
      </c>
      <c r="C784" t="s">
        <v>2245</v>
      </c>
      <c r="D784" t="str">
        <f>_xlfn.XLOOKUP(ISIC_Rev_5_english_structure__1[[#This Row],[Column4]],INDUSTRYGROUP!$C$2:$C$23,INDUSTRYGROUP!$D$2:$D$23,"NONE")</f>
        <v>NONE</v>
      </c>
      <c r="E784" t="str">
        <f>_xlfn.XLOOKUP(LEFT(A784,2),SECTOR!$A$2:$A$88,SECTOR!$A$2:$A$88,"")</f>
        <v/>
      </c>
      <c r="F784" t="str">
        <f>_xlfn.XLOOKUP(LEFT(A784,2),SECTOR!$A$2:$A$88,SECTOR!$B$2:$B$88,"")</f>
        <v/>
      </c>
      <c r="G784" t="str">
        <f>_xlfn.XLOOKUP(LEFT(A784,3),INDUSTRY!$A$2:$A$259,INDUSTRY!$A$2:$A$259,"")</f>
        <v>941</v>
      </c>
      <c r="H784" t="str">
        <f>_xlfn.XLOOKUP(LEFT(A784,3),INDUSTRY!$A$2:$A$259,INDUSTRY!$B$2:$B$259,"")</f>
        <v>Activities of business, employers and professional membership organizations</v>
      </c>
      <c r="I784" t="str">
        <f t="shared" si="24"/>
        <v/>
      </c>
      <c r="J784" t="str">
        <f t="shared" si="25"/>
        <v/>
      </c>
    </row>
    <row r="785" spans="1:10" x14ac:dyDescent="0.25">
      <c r="A785" t="s">
        <v>2251</v>
      </c>
      <c r="B785" t="s">
        <v>2252</v>
      </c>
      <c r="C785" t="s">
        <v>2245</v>
      </c>
      <c r="D785" t="str">
        <f>_xlfn.XLOOKUP(ISIC_Rev_5_english_structure__1[[#This Row],[Column4]],INDUSTRYGROUP!$C$2:$C$23,INDUSTRYGROUP!$D$2:$D$23,"NONE")</f>
        <v>NONE</v>
      </c>
      <c r="E785" t="str">
        <f>_xlfn.XLOOKUP(LEFT(A785,2),SECTOR!$A$2:$A$88,SECTOR!$A$2:$A$88,"")</f>
        <v/>
      </c>
      <c r="F785" t="str">
        <f>_xlfn.XLOOKUP(LEFT(A785,2),SECTOR!$A$2:$A$88,SECTOR!$B$2:$B$88,"")</f>
        <v/>
      </c>
      <c r="G785" t="str">
        <f>_xlfn.XLOOKUP(LEFT(A785,3),INDUSTRY!$A$2:$A$259,INDUSTRY!$A$2:$A$259,"")</f>
        <v>941</v>
      </c>
      <c r="H785" t="str">
        <f>_xlfn.XLOOKUP(LEFT(A785,3),INDUSTRY!$A$2:$A$259,INDUSTRY!$B$2:$B$259,"")</f>
        <v>Activities of business, employers and professional membership organizations</v>
      </c>
      <c r="I785" t="str">
        <f t="shared" si="24"/>
        <v>9411</v>
      </c>
      <c r="J785" t="str">
        <f t="shared" si="25"/>
        <v>Activities of business and employers membership organizations</v>
      </c>
    </row>
    <row r="786" spans="1:10" x14ac:dyDescent="0.25">
      <c r="A786" t="s">
        <v>2253</v>
      </c>
      <c r="B786" t="s">
        <v>2254</v>
      </c>
      <c r="C786" t="s">
        <v>2245</v>
      </c>
      <c r="D786" t="str">
        <f>_xlfn.XLOOKUP(ISIC_Rev_5_english_structure__1[[#This Row],[Column4]],INDUSTRYGROUP!$C$2:$C$23,INDUSTRYGROUP!$D$2:$D$23,"NONE")</f>
        <v>NONE</v>
      </c>
      <c r="E786" t="str">
        <f>_xlfn.XLOOKUP(LEFT(A786,2),SECTOR!$A$2:$A$88,SECTOR!$A$2:$A$88,"")</f>
        <v/>
      </c>
      <c r="F786" t="str">
        <f>_xlfn.XLOOKUP(LEFT(A786,2),SECTOR!$A$2:$A$88,SECTOR!$B$2:$B$88,"")</f>
        <v/>
      </c>
      <c r="G786" t="str">
        <f>_xlfn.XLOOKUP(LEFT(A786,3),INDUSTRY!$A$2:$A$259,INDUSTRY!$A$2:$A$259,"")</f>
        <v>941</v>
      </c>
      <c r="H786" t="str">
        <f>_xlfn.XLOOKUP(LEFT(A786,3),INDUSTRY!$A$2:$A$259,INDUSTRY!$B$2:$B$259,"")</f>
        <v>Activities of business, employers and professional membership organizations</v>
      </c>
      <c r="I786" t="str">
        <f t="shared" si="24"/>
        <v>9412</v>
      </c>
      <c r="J786" t="str">
        <f t="shared" si="25"/>
        <v>Activities of professional membership organizations</v>
      </c>
    </row>
    <row r="787" spans="1:10" x14ac:dyDescent="0.25">
      <c r="A787" t="s">
        <v>2255</v>
      </c>
      <c r="B787" t="s">
        <v>2256</v>
      </c>
      <c r="C787" t="s">
        <v>2245</v>
      </c>
      <c r="D787" t="str">
        <f>_xlfn.XLOOKUP(ISIC_Rev_5_english_structure__1[[#This Row],[Column4]],INDUSTRYGROUP!$C$2:$C$23,INDUSTRYGROUP!$D$2:$D$23,"NONE")</f>
        <v>NONE</v>
      </c>
      <c r="E787" t="str">
        <f>_xlfn.XLOOKUP(LEFT(A787,2),SECTOR!$A$2:$A$88,SECTOR!$A$2:$A$88,"")</f>
        <v/>
      </c>
      <c r="F787" t="str">
        <f>_xlfn.XLOOKUP(LEFT(A787,2),SECTOR!$A$2:$A$88,SECTOR!$B$2:$B$88,"")</f>
        <v/>
      </c>
      <c r="G787" t="str">
        <f>_xlfn.XLOOKUP(LEFT(A787,3),INDUSTRY!$A$2:$A$259,INDUSTRY!$A$2:$A$259,"")</f>
        <v>942</v>
      </c>
      <c r="H787" t="str">
        <f>_xlfn.XLOOKUP(LEFT(A787,3),INDUSTRY!$A$2:$A$259,INDUSTRY!$B$2:$B$259,"")</f>
        <v>Activities of trade unions</v>
      </c>
      <c r="I787" t="str">
        <f t="shared" si="24"/>
        <v/>
      </c>
      <c r="J787" t="str">
        <f t="shared" si="25"/>
        <v/>
      </c>
    </row>
    <row r="788" spans="1:10" x14ac:dyDescent="0.25">
      <c r="A788" t="s">
        <v>2257</v>
      </c>
      <c r="B788" t="s">
        <v>2256</v>
      </c>
      <c r="C788" t="s">
        <v>2245</v>
      </c>
      <c r="D788" t="str">
        <f>_xlfn.XLOOKUP(ISIC_Rev_5_english_structure__1[[#This Row],[Column4]],INDUSTRYGROUP!$C$2:$C$23,INDUSTRYGROUP!$D$2:$D$23,"NONE")</f>
        <v>NONE</v>
      </c>
      <c r="E788" t="str">
        <f>_xlfn.XLOOKUP(LEFT(A788,2),SECTOR!$A$2:$A$88,SECTOR!$A$2:$A$88,"")</f>
        <v/>
      </c>
      <c r="F788" t="str">
        <f>_xlfn.XLOOKUP(LEFT(A788,2),SECTOR!$A$2:$A$88,SECTOR!$B$2:$B$88,"")</f>
        <v/>
      </c>
      <c r="G788" t="str">
        <f>_xlfn.XLOOKUP(LEFT(A788,3),INDUSTRY!$A$2:$A$259,INDUSTRY!$A$2:$A$259,"")</f>
        <v>942</v>
      </c>
      <c r="H788" t="str">
        <f>_xlfn.XLOOKUP(LEFT(A788,3),INDUSTRY!$A$2:$A$259,INDUSTRY!$B$2:$B$259,"")</f>
        <v>Activities of trade unions</v>
      </c>
      <c r="I788" t="str">
        <f t="shared" si="24"/>
        <v>9420</v>
      </c>
      <c r="J788" t="str">
        <f t="shared" si="25"/>
        <v>Activities of trade unions</v>
      </c>
    </row>
    <row r="789" spans="1:10" x14ac:dyDescent="0.25">
      <c r="A789" t="s">
        <v>2258</v>
      </c>
      <c r="B789" t="s">
        <v>2259</v>
      </c>
      <c r="C789" t="s">
        <v>2245</v>
      </c>
      <c r="D789" t="str">
        <f>_xlfn.XLOOKUP(ISIC_Rev_5_english_structure__1[[#This Row],[Column4]],INDUSTRYGROUP!$C$2:$C$23,INDUSTRYGROUP!$D$2:$D$23,"NONE")</f>
        <v>NONE</v>
      </c>
      <c r="E789" t="str">
        <f>_xlfn.XLOOKUP(LEFT(A789,2),SECTOR!$A$2:$A$88,SECTOR!$A$2:$A$88,"")</f>
        <v/>
      </c>
      <c r="F789" t="str">
        <f>_xlfn.XLOOKUP(LEFT(A789,2),SECTOR!$A$2:$A$88,SECTOR!$B$2:$B$88,"")</f>
        <v/>
      </c>
      <c r="G789" t="str">
        <f>_xlfn.XLOOKUP(LEFT(A789,3),INDUSTRY!$A$2:$A$259,INDUSTRY!$A$2:$A$259,"")</f>
        <v>949</v>
      </c>
      <c r="H789" t="str">
        <f>_xlfn.XLOOKUP(LEFT(A789,3),INDUSTRY!$A$2:$A$259,INDUSTRY!$B$2:$B$259,"")</f>
        <v>Activities of other membership organizations</v>
      </c>
      <c r="I789" t="str">
        <f t="shared" si="24"/>
        <v/>
      </c>
      <c r="J789" t="str">
        <f t="shared" si="25"/>
        <v/>
      </c>
    </row>
    <row r="790" spans="1:10" x14ac:dyDescent="0.25">
      <c r="A790" t="s">
        <v>2260</v>
      </c>
      <c r="B790" t="s">
        <v>2261</v>
      </c>
      <c r="C790" t="s">
        <v>2245</v>
      </c>
      <c r="D790" t="str">
        <f>_xlfn.XLOOKUP(ISIC_Rev_5_english_structure__1[[#This Row],[Column4]],INDUSTRYGROUP!$C$2:$C$23,INDUSTRYGROUP!$D$2:$D$23,"NONE")</f>
        <v>NONE</v>
      </c>
      <c r="E790" t="str">
        <f>_xlfn.XLOOKUP(LEFT(A790,2),SECTOR!$A$2:$A$88,SECTOR!$A$2:$A$88,"")</f>
        <v/>
      </c>
      <c r="F790" t="str">
        <f>_xlfn.XLOOKUP(LEFT(A790,2),SECTOR!$A$2:$A$88,SECTOR!$B$2:$B$88,"")</f>
        <v/>
      </c>
      <c r="G790" t="str">
        <f>_xlfn.XLOOKUP(LEFT(A790,3),INDUSTRY!$A$2:$A$259,INDUSTRY!$A$2:$A$259,"")</f>
        <v>949</v>
      </c>
      <c r="H790" t="str">
        <f>_xlfn.XLOOKUP(LEFT(A790,3),INDUSTRY!$A$2:$A$259,INDUSTRY!$B$2:$B$259,"")</f>
        <v>Activities of other membership organizations</v>
      </c>
      <c r="I790" t="str">
        <f t="shared" si="24"/>
        <v>9491</v>
      </c>
      <c r="J790" t="str">
        <f t="shared" si="25"/>
        <v>Activities of religious organizations</v>
      </c>
    </row>
    <row r="791" spans="1:10" x14ac:dyDescent="0.25">
      <c r="A791" t="s">
        <v>2262</v>
      </c>
      <c r="B791" t="s">
        <v>2263</v>
      </c>
      <c r="C791" t="s">
        <v>2245</v>
      </c>
      <c r="D791" t="str">
        <f>_xlfn.XLOOKUP(ISIC_Rev_5_english_structure__1[[#This Row],[Column4]],INDUSTRYGROUP!$C$2:$C$23,INDUSTRYGROUP!$D$2:$D$23,"NONE")</f>
        <v>NONE</v>
      </c>
      <c r="E791" t="str">
        <f>_xlfn.XLOOKUP(LEFT(A791,2),SECTOR!$A$2:$A$88,SECTOR!$A$2:$A$88,"")</f>
        <v/>
      </c>
      <c r="F791" t="str">
        <f>_xlfn.XLOOKUP(LEFT(A791,2),SECTOR!$A$2:$A$88,SECTOR!$B$2:$B$88,"")</f>
        <v/>
      </c>
      <c r="G791" t="str">
        <f>_xlfn.XLOOKUP(LEFT(A791,3),INDUSTRY!$A$2:$A$259,INDUSTRY!$A$2:$A$259,"")</f>
        <v>949</v>
      </c>
      <c r="H791" t="str">
        <f>_xlfn.XLOOKUP(LEFT(A791,3),INDUSTRY!$A$2:$A$259,INDUSTRY!$B$2:$B$259,"")</f>
        <v>Activities of other membership organizations</v>
      </c>
      <c r="I791" t="str">
        <f t="shared" si="24"/>
        <v>9492</v>
      </c>
      <c r="J791" t="str">
        <f t="shared" si="25"/>
        <v>Activities of political organizations</v>
      </c>
    </row>
    <row r="792" spans="1:10" x14ac:dyDescent="0.25">
      <c r="A792" t="s">
        <v>2264</v>
      </c>
      <c r="B792" t="s">
        <v>2265</v>
      </c>
      <c r="C792" t="s">
        <v>2245</v>
      </c>
      <c r="D792" t="str">
        <f>_xlfn.XLOOKUP(ISIC_Rev_5_english_structure__1[[#This Row],[Column4]],INDUSTRYGROUP!$C$2:$C$23,INDUSTRYGROUP!$D$2:$D$23,"NONE")</f>
        <v>NONE</v>
      </c>
      <c r="E792" t="str">
        <f>_xlfn.XLOOKUP(LEFT(A792,2),SECTOR!$A$2:$A$88,SECTOR!$A$2:$A$88,"")</f>
        <v/>
      </c>
      <c r="F792" t="str">
        <f>_xlfn.XLOOKUP(LEFT(A792,2),SECTOR!$A$2:$A$88,SECTOR!$B$2:$B$88,"")</f>
        <v/>
      </c>
      <c r="G792" t="str">
        <f>_xlfn.XLOOKUP(LEFT(A792,3),INDUSTRY!$A$2:$A$259,INDUSTRY!$A$2:$A$259,"")</f>
        <v>949</v>
      </c>
      <c r="H792" t="str">
        <f>_xlfn.XLOOKUP(LEFT(A792,3),INDUSTRY!$A$2:$A$259,INDUSTRY!$B$2:$B$259,"")</f>
        <v>Activities of other membership organizations</v>
      </c>
      <c r="I792" t="str">
        <f t="shared" si="24"/>
        <v>9499</v>
      </c>
      <c r="J792" t="str">
        <f t="shared" si="25"/>
        <v>Activities of other membership organizations n.e.c.</v>
      </c>
    </row>
    <row r="793" spans="1:10" x14ac:dyDescent="0.25">
      <c r="A793" t="s">
        <v>2266</v>
      </c>
      <c r="B793" t="s">
        <v>2267</v>
      </c>
      <c r="C793" t="s">
        <v>2245</v>
      </c>
      <c r="D793" t="str">
        <f>_xlfn.XLOOKUP(ISIC_Rev_5_english_structure__1[[#This Row],[Column4]],INDUSTRYGROUP!$C$2:$C$23,INDUSTRYGROUP!$D$2:$D$23,"NONE")</f>
        <v>NONE</v>
      </c>
      <c r="E793" t="str">
        <f>_xlfn.XLOOKUP(LEFT(A793,2),SECTOR!$A$2:$A$88,SECTOR!$A$2:$A$88,"")</f>
        <v/>
      </c>
      <c r="F793" t="str">
        <f>_xlfn.XLOOKUP(LEFT(A793,2),SECTOR!$A$2:$A$88,SECTOR!$B$2:$B$88,"")</f>
        <v/>
      </c>
      <c r="G793" t="str">
        <f>_xlfn.XLOOKUP(LEFT(A793,3),INDUSTRY!$A$2:$A$259,INDUSTRY!$A$2:$A$259,"")</f>
        <v/>
      </c>
      <c r="H793" t="str">
        <f>_xlfn.XLOOKUP(LEFT(A793,3),INDUSTRY!$A$2:$A$259,INDUSTRY!$B$2:$B$259,"")</f>
        <v/>
      </c>
      <c r="I793" t="str">
        <f t="shared" si="24"/>
        <v/>
      </c>
      <c r="J793" t="str">
        <f t="shared" si="25"/>
        <v/>
      </c>
    </row>
    <row r="794" spans="1:10" x14ac:dyDescent="0.25">
      <c r="A794" t="s">
        <v>2268</v>
      </c>
      <c r="B794" t="s">
        <v>2269</v>
      </c>
      <c r="C794" t="s">
        <v>2245</v>
      </c>
      <c r="D794" t="str">
        <f>_xlfn.XLOOKUP(ISIC_Rev_5_english_structure__1[[#This Row],[Column4]],INDUSTRYGROUP!$C$2:$C$23,INDUSTRYGROUP!$D$2:$D$23,"NONE")</f>
        <v>NONE</v>
      </c>
      <c r="E794" t="str">
        <f>_xlfn.XLOOKUP(LEFT(A794,2),SECTOR!$A$2:$A$88,SECTOR!$A$2:$A$88,"")</f>
        <v/>
      </c>
      <c r="F794" t="str">
        <f>_xlfn.XLOOKUP(LEFT(A794,2),SECTOR!$A$2:$A$88,SECTOR!$B$2:$B$88,"")</f>
        <v/>
      </c>
      <c r="G794" t="str">
        <f>_xlfn.XLOOKUP(LEFT(A794,3),INDUSTRY!$A$2:$A$259,INDUSTRY!$A$2:$A$259,"")</f>
        <v>951</v>
      </c>
      <c r="H794" t="str">
        <f>_xlfn.XLOOKUP(LEFT(A794,3),INDUSTRY!$A$2:$A$259,INDUSTRY!$B$2:$B$259,"")</f>
        <v>Repair and maintenance of computers and communication equipment</v>
      </c>
      <c r="I794" t="str">
        <f t="shared" si="24"/>
        <v/>
      </c>
      <c r="J794" t="str">
        <f t="shared" si="25"/>
        <v/>
      </c>
    </row>
    <row r="795" spans="1:10" x14ac:dyDescent="0.25">
      <c r="A795" t="s">
        <v>2270</v>
      </c>
      <c r="B795" t="s">
        <v>2269</v>
      </c>
      <c r="C795" t="s">
        <v>2245</v>
      </c>
      <c r="D795" t="str">
        <f>_xlfn.XLOOKUP(ISIC_Rev_5_english_structure__1[[#This Row],[Column4]],INDUSTRYGROUP!$C$2:$C$23,INDUSTRYGROUP!$D$2:$D$23,"NONE")</f>
        <v>NONE</v>
      </c>
      <c r="E795" t="str">
        <f>_xlfn.XLOOKUP(LEFT(A795,2),SECTOR!$A$2:$A$88,SECTOR!$A$2:$A$88,"")</f>
        <v/>
      </c>
      <c r="F795" t="str">
        <f>_xlfn.XLOOKUP(LEFT(A795,2),SECTOR!$A$2:$A$88,SECTOR!$B$2:$B$88,"")</f>
        <v/>
      </c>
      <c r="G795" t="str">
        <f>_xlfn.XLOOKUP(LEFT(A795,3),INDUSTRY!$A$2:$A$259,INDUSTRY!$A$2:$A$259,"")</f>
        <v>951</v>
      </c>
      <c r="H795" t="str">
        <f>_xlfn.XLOOKUP(LEFT(A795,3),INDUSTRY!$A$2:$A$259,INDUSTRY!$B$2:$B$259,"")</f>
        <v>Repair and maintenance of computers and communication equipment</v>
      </c>
      <c r="I795" t="str">
        <f t="shared" si="24"/>
        <v>9510</v>
      </c>
      <c r="J795" t="str">
        <f t="shared" si="25"/>
        <v>Repair and maintenance of computers and communication equipment</v>
      </c>
    </row>
    <row r="796" spans="1:10" x14ac:dyDescent="0.25">
      <c r="A796" t="s">
        <v>2271</v>
      </c>
      <c r="B796" t="s">
        <v>2272</v>
      </c>
      <c r="C796" t="s">
        <v>2245</v>
      </c>
      <c r="D796" t="str">
        <f>_xlfn.XLOOKUP(ISIC_Rev_5_english_structure__1[[#This Row],[Column4]],INDUSTRYGROUP!$C$2:$C$23,INDUSTRYGROUP!$D$2:$D$23,"NONE")</f>
        <v>NONE</v>
      </c>
      <c r="E796" t="str">
        <f>_xlfn.XLOOKUP(LEFT(A796,2),SECTOR!$A$2:$A$88,SECTOR!$A$2:$A$88,"")</f>
        <v/>
      </c>
      <c r="F796" t="str">
        <f>_xlfn.XLOOKUP(LEFT(A796,2),SECTOR!$A$2:$A$88,SECTOR!$B$2:$B$88,"")</f>
        <v/>
      </c>
      <c r="G796" t="str">
        <f>_xlfn.XLOOKUP(LEFT(A796,3),INDUSTRY!$A$2:$A$259,INDUSTRY!$A$2:$A$259,"")</f>
        <v>952</v>
      </c>
      <c r="H796" t="str">
        <f>_xlfn.XLOOKUP(LEFT(A796,3),INDUSTRY!$A$2:$A$259,INDUSTRY!$B$2:$B$259,"")</f>
        <v>Repair and maintenance of personal and household goods</v>
      </c>
      <c r="I796" t="str">
        <f t="shared" si="24"/>
        <v/>
      </c>
      <c r="J796" t="str">
        <f t="shared" si="25"/>
        <v/>
      </c>
    </row>
    <row r="797" spans="1:10" x14ac:dyDescent="0.25">
      <c r="A797" t="s">
        <v>2273</v>
      </c>
      <c r="B797" t="s">
        <v>2274</v>
      </c>
      <c r="C797" t="s">
        <v>2245</v>
      </c>
      <c r="D797" t="str">
        <f>_xlfn.XLOOKUP(ISIC_Rev_5_english_structure__1[[#This Row],[Column4]],INDUSTRYGROUP!$C$2:$C$23,INDUSTRYGROUP!$D$2:$D$23,"NONE")</f>
        <v>NONE</v>
      </c>
      <c r="E797" t="str">
        <f>_xlfn.XLOOKUP(LEFT(A797,2),SECTOR!$A$2:$A$88,SECTOR!$A$2:$A$88,"")</f>
        <v/>
      </c>
      <c r="F797" t="str">
        <f>_xlfn.XLOOKUP(LEFT(A797,2),SECTOR!$A$2:$A$88,SECTOR!$B$2:$B$88,"")</f>
        <v/>
      </c>
      <c r="G797" t="str">
        <f>_xlfn.XLOOKUP(LEFT(A797,3),INDUSTRY!$A$2:$A$259,INDUSTRY!$A$2:$A$259,"")</f>
        <v>952</v>
      </c>
      <c r="H797" t="str">
        <f>_xlfn.XLOOKUP(LEFT(A797,3),INDUSTRY!$A$2:$A$259,INDUSTRY!$B$2:$B$259,"")</f>
        <v>Repair and maintenance of personal and household goods</v>
      </c>
      <c r="I797" t="str">
        <f t="shared" si="24"/>
        <v>9521</v>
      </c>
      <c r="J797" t="str">
        <f t="shared" si="25"/>
        <v>Repair and maintenance of consumer electronics</v>
      </c>
    </row>
    <row r="798" spans="1:10" x14ac:dyDescent="0.25">
      <c r="A798" t="s">
        <v>2275</v>
      </c>
      <c r="B798" t="s">
        <v>2276</v>
      </c>
      <c r="C798" t="s">
        <v>2245</v>
      </c>
      <c r="D798" t="str">
        <f>_xlfn.XLOOKUP(ISIC_Rev_5_english_structure__1[[#This Row],[Column4]],INDUSTRYGROUP!$C$2:$C$23,INDUSTRYGROUP!$D$2:$D$23,"NONE")</f>
        <v>NONE</v>
      </c>
      <c r="E798" t="str">
        <f>_xlfn.XLOOKUP(LEFT(A798,2),SECTOR!$A$2:$A$88,SECTOR!$A$2:$A$88,"")</f>
        <v/>
      </c>
      <c r="F798" t="str">
        <f>_xlfn.XLOOKUP(LEFT(A798,2),SECTOR!$A$2:$A$88,SECTOR!$B$2:$B$88,"")</f>
        <v/>
      </c>
      <c r="G798" t="str">
        <f>_xlfn.XLOOKUP(LEFT(A798,3),INDUSTRY!$A$2:$A$259,INDUSTRY!$A$2:$A$259,"")</f>
        <v>952</v>
      </c>
      <c r="H798" t="str">
        <f>_xlfn.XLOOKUP(LEFT(A798,3),INDUSTRY!$A$2:$A$259,INDUSTRY!$B$2:$B$259,"")</f>
        <v>Repair and maintenance of personal and household goods</v>
      </c>
      <c r="I798" t="str">
        <f t="shared" si="24"/>
        <v>9522</v>
      </c>
      <c r="J798" t="str">
        <f t="shared" si="25"/>
        <v>Repair and maintenance of household appliances and home and garden equipment</v>
      </c>
    </row>
    <row r="799" spans="1:10" x14ac:dyDescent="0.25">
      <c r="A799" t="s">
        <v>2277</v>
      </c>
      <c r="B799" t="s">
        <v>2278</v>
      </c>
      <c r="C799" t="s">
        <v>2245</v>
      </c>
      <c r="D799" t="str">
        <f>_xlfn.XLOOKUP(ISIC_Rev_5_english_structure__1[[#This Row],[Column4]],INDUSTRYGROUP!$C$2:$C$23,INDUSTRYGROUP!$D$2:$D$23,"NONE")</f>
        <v>NONE</v>
      </c>
      <c r="E799" t="str">
        <f>_xlfn.XLOOKUP(LEFT(A799,2),SECTOR!$A$2:$A$88,SECTOR!$A$2:$A$88,"")</f>
        <v/>
      </c>
      <c r="F799" t="str">
        <f>_xlfn.XLOOKUP(LEFT(A799,2),SECTOR!$A$2:$A$88,SECTOR!$B$2:$B$88,"")</f>
        <v/>
      </c>
      <c r="G799" t="str">
        <f>_xlfn.XLOOKUP(LEFT(A799,3),INDUSTRY!$A$2:$A$259,INDUSTRY!$A$2:$A$259,"")</f>
        <v>952</v>
      </c>
      <c r="H799" t="str">
        <f>_xlfn.XLOOKUP(LEFT(A799,3),INDUSTRY!$A$2:$A$259,INDUSTRY!$B$2:$B$259,"")</f>
        <v>Repair and maintenance of personal and household goods</v>
      </c>
      <c r="I799" t="str">
        <f t="shared" si="24"/>
        <v>9523</v>
      </c>
      <c r="J799" t="str">
        <f t="shared" si="25"/>
        <v>Repair and maintenance of footwear and leather goods</v>
      </c>
    </row>
    <row r="800" spans="1:10" x14ac:dyDescent="0.25">
      <c r="A800" t="s">
        <v>2279</v>
      </c>
      <c r="B800" t="s">
        <v>2280</v>
      </c>
      <c r="C800" t="s">
        <v>2245</v>
      </c>
      <c r="D800" t="str">
        <f>_xlfn.XLOOKUP(ISIC_Rev_5_english_structure__1[[#This Row],[Column4]],INDUSTRYGROUP!$C$2:$C$23,INDUSTRYGROUP!$D$2:$D$23,"NONE")</f>
        <v>NONE</v>
      </c>
      <c r="E800" t="str">
        <f>_xlfn.XLOOKUP(LEFT(A800,2),SECTOR!$A$2:$A$88,SECTOR!$A$2:$A$88,"")</f>
        <v/>
      </c>
      <c r="F800" t="str">
        <f>_xlfn.XLOOKUP(LEFT(A800,2),SECTOR!$A$2:$A$88,SECTOR!$B$2:$B$88,"")</f>
        <v/>
      </c>
      <c r="G800" t="str">
        <f>_xlfn.XLOOKUP(LEFT(A800,3),INDUSTRY!$A$2:$A$259,INDUSTRY!$A$2:$A$259,"")</f>
        <v>952</v>
      </c>
      <c r="H800" t="str">
        <f>_xlfn.XLOOKUP(LEFT(A800,3),INDUSTRY!$A$2:$A$259,INDUSTRY!$B$2:$B$259,"")</f>
        <v>Repair and maintenance of personal and household goods</v>
      </c>
      <c r="I800" t="str">
        <f t="shared" si="24"/>
        <v>9524</v>
      </c>
      <c r="J800" t="str">
        <f t="shared" si="25"/>
        <v>Repair and maintenance of furniture and home furnishings</v>
      </c>
    </row>
    <row r="801" spans="1:10" x14ac:dyDescent="0.25">
      <c r="A801" t="s">
        <v>2281</v>
      </c>
      <c r="B801" t="s">
        <v>2282</v>
      </c>
      <c r="C801" t="s">
        <v>2245</v>
      </c>
      <c r="D801" t="str">
        <f>_xlfn.XLOOKUP(ISIC_Rev_5_english_structure__1[[#This Row],[Column4]],INDUSTRYGROUP!$C$2:$C$23,INDUSTRYGROUP!$D$2:$D$23,"NONE")</f>
        <v>NONE</v>
      </c>
      <c r="E801" t="str">
        <f>_xlfn.XLOOKUP(LEFT(A801,2),SECTOR!$A$2:$A$88,SECTOR!$A$2:$A$88,"")</f>
        <v/>
      </c>
      <c r="F801" t="str">
        <f>_xlfn.XLOOKUP(LEFT(A801,2),SECTOR!$A$2:$A$88,SECTOR!$B$2:$B$88,"")</f>
        <v/>
      </c>
      <c r="G801" t="str">
        <f>_xlfn.XLOOKUP(LEFT(A801,3),INDUSTRY!$A$2:$A$259,INDUSTRY!$A$2:$A$259,"")</f>
        <v>952</v>
      </c>
      <c r="H801" t="str">
        <f>_xlfn.XLOOKUP(LEFT(A801,3),INDUSTRY!$A$2:$A$259,INDUSTRY!$B$2:$B$259,"")</f>
        <v>Repair and maintenance of personal and household goods</v>
      </c>
      <c r="I801" t="str">
        <f t="shared" si="24"/>
        <v>9529</v>
      </c>
      <c r="J801" t="str">
        <f t="shared" si="25"/>
        <v>Repair and maintenance of other personal and household goods</v>
      </c>
    </row>
    <row r="802" spans="1:10" x14ac:dyDescent="0.25">
      <c r="A802" t="s">
        <v>2283</v>
      </c>
      <c r="B802" t="s">
        <v>2284</v>
      </c>
      <c r="C802" t="s">
        <v>2245</v>
      </c>
      <c r="D802" t="str">
        <f>_xlfn.XLOOKUP(ISIC_Rev_5_english_structure__1[[#This Row],[Column4]],INDUSTRYGROUP!$C$2:$C$23,INDUSTRYGROUP!$D$2:$D$23,"NONE")</f>
        <v>NONE</v>
      </c>
      <c r="E802" t="str">
        <f>_xlfn.XLOOKUP(LEFT(A802,2),SECTOR!$A$2:$A$88,SECTOR!$A$2:$A$88,"")</f>
        <v/>
      </c>
      <c r="F802" t="str">
        <f>_xlfn.XLOOKUP(LEFT(A802,2),SECTOR!$A$2:$A$88,SECTOR!$B$2:$B$88,"")</f>
        <v/>
      </c>
      <c r="G802" t="str">
        <f>_xlfn.XLOOKUP(LEFT(A802,3),INDUSTRY!$A$2:$A$259,INDUSTRY!$A$2:$A$259,"")</f>
        <v>953</v>
      </c>
      <c r="H802" t="str">
        <f>_xlfn.XLOOKUP(LEFT(A802,3),INDUSTRY!$A$2:$A$259,INDUSTRY!$B$2:$B$259,"")</f>
        <v>Repair and maintenance of motor vehicles and motorcycles</v>
      </c>
      <c r="I802" t="str">
        <f t="shared" si="24"/>
        <v/>
      </c>
      <c r="J802" t="str">
        <f t="shared" si="25"/>
        <v/>
      </c>
    </row>
    <row r="803" spans="1:10" x14ac:dyDescent="0.25">
      <c r="A803" t="s">
        <v>2285</v>
      </c>
      <c r="B803" t="s">
        <v>2286</v>
      </c>
      <c r="C803" t="s">
        <v>2245</v>
      </c>
      <c r="D803" t="str">
        <f>_xlfn.XLOOKUP(ISIC_Rev_5_english_structure__1[[#This Row],[Column4]],INDUSTRYGROUP!$C$2:$C$23,INDUSTRYGROUP!$D$2:$D$23,"NONE")</f>
        <v>NONE</v>
      </c>
      <c r="E803" t="str">
        <f>_xlfn.XLOOKUP(LEFT(A803,2),SECTOR!$A$2:$A$88,SECTOR!$A$2:$A$88,"")</f>
        <v/>
      </c>
      <c r="F803" t="str">
        <f>_xlfn.XLOOKUP(LEFT(A803,2),SECTOR!$A$2:$A$88,SECTOR!$B$2:$B$88,"")</f>
        <v/>
      </c>
      <c r="G803" t="str">
        <f>_xlfn.XLOOKUP(LEFT(A803,3),INDUSTRY!$A$2:$A$259,INDUSTRY!$A$2:$A$259,"")</f>
        <v>953</v>
      </c>
      <c r="H803" t="str">
        <f>_xlfn.XLOOKUP(LEFT(A803,3),INDUSTRY!$A$2:$A$259,INDUSTRY!$B$2:$B$259,"")</f>
        <v>Repair and maintenance of motor vehicles and motorcycles</v>
      </c>
      <c r="I803" t="str">
        <f t="shared" si="24"/>
        <v>9531</v>
      </c>
      <c r="J803" t="str">
        <f t="shared" si="25"/>
        <v>Repair and maintenance of motor vehicles</v>
      </c>
    </row>
    <row r="804" spans="1:10" x14ac:dyDescent="0.25">
      <c r="A804" t="s">
        <v>2287</v>
      </c>
      <c r="B804" t="s">
        <v>2288</v>
      </c>
      <c r="C804" t="s">
        <v>2245</v>
      </c>
      <c r="D804" t="str">
        <f>_xlfn.XLOOKUP(ISIC_Rev_5_english_structure__1[[#This Row],[Column4]],INDUSTRYGROUP!$C$2:$C$23,INDUSTRYGROUP!$D$2:$D$23,"NONE")</f>
        <v>NONE</v>
      </c>
      <c r="E804" t="str">
        <f>_xlfn.XLOOKUP(LEFT(A804,2),SECTOR!$A$2:$A$88,SECTOR!$A$2:$A$88,"")</f>
        <v/>
      </c>
      <c r="F804" t="str">
        <f>_xlfn.XLOOKUP(LEFT(A804,2),SECTOR!$A$2:$A$88,SECTOR!$B$2:$B$88,"")</f>
        <v/>
      </c>
      <c r="G804" t="str">
        <f>_xlfn.XLOOKUP(LEFT(A804,3),INDUSTRY!$A$2:$A$259,INDUSTRY!$A$2:$A$259,"")</f>
        <v>953</v>
      </c>
      <c r="H804" t="str">
        <f>_xlfn.XLOOKUP(LEFT(A804,3),INDUSTRY!$A$2:$A$259,INDUSTRY!$B$2:$B$259,"")</f>
        <v>Repair and maintenance of motor vehicles and motorcycles</v>
      </c>
      <c r="I804" t="str">
        <f t="shared" si="24"/>
        <v>9532</v>
      </c>
      <c r="J804" t="str">
        <f t="shared" si="25"/>
        <v>Repair and maintenance of motorcycles</v>
      </c>
    </row>
    <row r="805" spans="1:10" x14ac:dyDescent="0.25">
      <c r="A805" t="s">
        <v>2289</v>
      </c>
      <c r="B805" t="s">
        <v>2290</v>
      </c>
      <c r="C805" t="s">
        <v>2245</v>
      </c>
      <c r="D805" t="str">
        <f>_xlfn.XLOOKUP(ISIC_Rev_5_english_structure__1[[#This Row],[Column4]],INDUSTRYGROUP!$C$2:$C$23,INDUSTRYGROUP!$D$2:$D$23,"NONE")</f>
        <v>NONE</v>
      </c>
      <c r="E805" t="str">
        <f>_xlfn.XLOOKUP(LEFT(A805,2),SECTOR!$A$2:$A$88,SECTOR!$A$2:$A$88,"")</f>
        <v/>
      </c>
      <c r="F805" t="str">
        <f>_xlfn.XLOOKUP(LEFT(A805,2),SECTOR!$A$2:$A$88,SECTOR!$B$2:$B$88,"")</f>
        <v/>
      </c>
      <c r="G805" t="str">
        <f>_xlfn.XLOOKUP(LEFT(A805,3),INDUSTRY!$A$2:$A$259,INDUSTRY!$A$2:$A$259,"")</f>
        <v>954</v>
      </c>
      <c r="H805" t="str">
        <f>_xlfn.XLOOKUP(LEFT(A805,3),INDUSTRY!$A$2:$A$259,INDUSTRY!$B$2:$B$259,"")</f>
        <v>Intermediation service activities for repair and maintenance of computers, personal and household goods, and motor vehicles and motorcycles</v>
      </c>
      <c r="I805" t="str">
        <f t="shared" si="24"/>
        <v/>
      </c>
      <c r="J805" t="str">
        <f t="shared" si="25"/>
        <v/>
      </c>
    </row>
    <row r="806" spans="1:10" x14ac:dyDescent="0.25">
      <c r="A806" t="s">
        <v>2291</v>
      </c>
      <c r="B806" t="s">
        <v>2290</v>
      </c>
      <c r="C806" t="s">
        <v>2245</v>
      </c>
      <c r="D806" t="str">
        <f>_xlfn.XLOOKUP(ISIC_Rev_5_english_structure__1[[#This Row],[Column4]],INDUSTRYGROUP!$C$2:$C$23,INDUSTRYGROUP!$D$2:$D$23,"NONE")</f>
        <v>NONE</v>
      </c>
      <c r="E806" t="str">
        <f>_xlfn.XLOOKUP(LEFT(A806,2),SECTOR!$A$2:$A$88,SECTOR!$A$2:$A$88,"")</f>
        <v/>
      </c>
      <c r="F806" t="str">
        <f>_xlfn.XLOOKUP(LEFT(A806,2),SECTOR!$A$2:$A$88,SECTOR!$B$2:$B$88,"")</f>
        <v/>
      </c>
      <c r="G806" t="str">
        <f>_xlfn.XLOOKUP(LEFT(A806,3),INDUSTRY!$A$2:$A$259,INDUSTRY!$A$2:$A$259,"")</f>
        <v>954</v>
      </c>
      <c r="H806" t="str">
        <f>_xlfn.XLOOKUP(LEFT(A806,3),INDUSTRY!$A$2:$A$259,INDUSTRY!$B$2:$B$259,"")</f>
        <v>Intermediation service activities for repair and maintenance of computers, personal and household goods, and motor vehicles and motorcycles</v>
      </c>
      <c r="I806" t="str">
        <f t="shared" si="24"/>
        <v>9540</v>
      </c>
      <c r="J806" t="str">
        <f t="shared" si="25"/>
        <v>Intermediation service activities for repair and maintenance of computers, personal and household goods, and motor vehicles and motorcycles</v>
      </c>
    </row>
    <row r="807" spans="1:10" x14ac:dyDescent="0.25">
      <c r="A807" t="s">
        <v>2292</v>
      </c>
      <c r="B807" t="s">
        <v>2293</v>
      </c>
      <c r="C807" t="s">
        <v>2245</v>
      </c>
      <c r="D807" t="str">
        <f>_xlfn.XLOOKUP(ISIC_Rev_5_english_structure__1[[#This Row],[Column4]],INDUSTRYGROUP!$C$2:$C$23,INDUSTRYGROUP!$D$2:$D$23,"NONE")</f>
        <v>NONE</v>
      </c>
      <c r="E807" t="str">
        <f>_xlfn.XLOOKUP(LEFT(A807,2),SECTOR!$A$2:$A$88,SECTOR!$A$2:$A$88,"")</f>
        <v/>
      </c>
      <c r="F807" t="str">
        <f>_xlfn.XLOOKUP(LEFT(A807,2),SECTOR!$A$2:$A$88,SECTOR!$B$2:$B$88,"")</f>
        <v/>
      </c>
      <c r="G807" t="str">
        <f>_xlfn.XLOOKUP(LEFT(A807,3),INDUSTRY!$A$2:$A$259,INDUSTRY!$A$2:$A$259,"")</f>
        <v/>
      </c>
      <c r="H807" t="str">
        <f>_xlfn.XLOOKUP(LEFT(A807,3),INDUSTRY!$A$2:$A$259,INDUSTRY!$B$2:$B$259,"")</f>
        <v/>
      </c>
      <c r="I807" t="str">
        <f t="shared" si="24"/>
        <v/>
      </c>
      <c r="J807" t="str">
        <f t="shared" si="25"/>
        <v/>
      </c>
    </row>
    <row r="808" spans="1:10" x14ac:dyDescent="0.25">
      <c r="A808" t="s">
        <v>2294</v>
      </c>
      <c r="B808" t="s">
        <v>2295</v>
      </c>
      <c r="C808" t="s">
        <v>2245</v>
      </c>
      <c r="D808" t="str">
        <f>_xlfn.XLOOKUP(ISIC_Rev_5_english_structure__1[[#This Row],[Column4]],INDUSTRYGROUP!$C$2:$C$23,INDUSTRYGROUP!$D$2:$D$23,"NONE")</f>
        <v>NONE</v>
      </c>
      <c r="E808" t="str">
        <f>_xlfn.XLOOKUP(LEFT(A808,2),SECTOR!$A$2:$A$88,SECTOR!$A$2:$A$88,"")</f>
        <v/>
      </c>
      <c r="F808" t="str">
        <f>_xlfn.XLOOKUP(LEFT(A808,2),SECTOR!$A$2:$A$88,SECTOR!$B$2:$B$88,"")</f>
        <v/>
      </c>
      <c r="G808" t="str">
        <f>_xlfn.XLOOKUP(LEFT(A808,3),INDUSTRY!$A$2:$A$259,INDUSTRY!$A$2:$A$259,"")</f>
        <v>961</v>
      </c>
      <c r="H808" t="str">
        <f>_xlfn.XLOOKUP(LEFT(A808,3),INDUSTRY!$A$2:$A$259,INDUSTRY!$B$2:$B$259,"")</f>
        <v>Washing and cleaning of textile and fur products</v>
      </c>
      <c r="I808" t="str">
        <f t="shared" si="24"/>
        <v/>
      </c>
      <c r="J808" t="str">
        <f t="shared" si="25"/>
        <v/>
      </c>
    </row>
    <row r="809" spans="1:10" x14ac:dyDescent="0.25">
      <c r="A809" t="s">
        <v>2296</v>
      </c>
      <c r="B809" t="s">
        <v>2295</v>
      </c>
      <c r="C809" t="s">
        <v>2245</v>
      </c>
      <c r="D809" t="str">
        <f>_xlfn.XLOOKUP(ISIC_Rev_5_english_structure__1[[#This Row],[Column4]],INDUSTRYGROUP!$C$2:$C$23,INDUSTRYGROUP!$D$2:$D$23,"NONE")</f>
        <v>NONE</v>
      </c>
      <c r="E809" t="str">
        <f>_xlfn.XLOOKUP(LEFT(A809,2),SECTOR!$A$2:$A$88,SECTOR!$A$2:$A$88,"")</f>
        <v/>
      </c>
      <c r="F809" t="str">
        <f>_xlfn.XLOOKUP(LEFT(A809,2),SECTOR!$A$2:$A$88,SECTOR!$B$2:$B$88,"")</f>
        <v/>
      </c>
      <c r="G809" t="str">
        <f>_xlfn.XLOOKUP(LEFT(A809,3),INDUSTRY!$A$2:$A$259,INDUSTRY!$A$2:$A$259,"")</f>
        <v>961</v>
      </c>
      <c r="H809" t="str">
        <f>_xlfn.XLOOKUP(LEFT(A809,3),INDUSTRY!$A$2:$A$259,INDUSTRY!$B$2:$B$259,"")</f>
        <v>Washing and cleaning of textile and fur products</v>
      </c>
      <c r="I809" t="str">
        <f t="shared" si="24"/>
        <v>9610</v>
      </c>
      <c r="J809" t="str">
        <f t="shared" si="25"/>
        <v>Washing and cleaning of textile and fur products</v>
      </c>
    </row>
    <row r="810" spans="1:10" x14ac:dyDescent="0.25">
      <c r="A810" t="s">
        <v>2297</v>
      </c>
      <c r="B810" t="s">
        <v>2298</v>
      </c>
      <c r="C810" t="s">
        <v>2245</v>
      </c>
      <c r="D810" t="str">
        <f>_xlfn.XLOOKUP(ISIC_Rev_5_english_structure__1[[#This Row],[Column4]],INDUSTRYGROUP!$C$2:$C$23,INDUSTRYGROUP!$D$2:$D$23,"NONE")</f>
        <v>NONE</v>
      </c>
      <c r="E810" t="str">
        <f>_xlfn.XLOOKUP(LEFT(A810,2),SECTOR!$A$2:$A$88,SECTOR!$A$2:$A$88,"")</f>
        <v/>
      </c>
      <c r="F810" t="str">
        <f>_xlfn.XLOOKUP(LEFT(A810,2),SECTOR!$A$2:$A$88,SECTOR!$B$2:$B$88,"")</f>
        <v/>
      </c>
      <c r="G810" t="str">
        <f>_xlfn.XLOOKUP(LEFT(A810,3),INDUSTRY!$A$2:$A$259,INDUSTRY!$A$2:$A$259,"")</f>
        <v>962</v>
      </c>
      <c r="H810" t="str">
        <f>_xlfn.XLOOKUP(LEFT(A810,3),INDUSTRY!$A$2:$A$259,INDUSTRY!$B$2:$B$259,"")</f>
        <v>Hairdressing, beauty treatment, day spa and similar activities</v>
      </c>
      <c r="I810" t="str">
        <f t="shared" si="24"/>
        <v/>
      </c>
      <c r="J810" t="str">
        <f t="shared" si="25"/>
        <v/>
      </c>
    </row>
    <row r="811" spans="1:10" x14ac:dyDescent="0.25">
      <c r="A811" t="s">
        <v>2299</v>
      </c>
      <c r="B811" t="s">
        <v>2300</v>
      </c>
      <c r="C811" t="s">
        <v>2245</v>
      </c>
      <c r="D811" t="str">
        <f>_xlfn.XLOOKUP(ISIC_Rev_5_english_structure__1[[#This Row],[Column4]],INDUSTRYGROUP!$C$2:$C$23,INDUSTRYGROUP!$D$2:$D$23,"NONE")</f>
        <v>NONE</v>
      </c>
      <c r="E811" t="str">
        <f>_xlfn.XLOOKUP(LEFT(A811,2),SECTOR!$A$2:$A$88,SECTOR!$A$2:$A$88,"")</f>
        <v/>
      </c>
      <c r="F811" t="str">
        <f>_xlfn.XLOOKUP(LEFT(A811,2),SECTOR!$A$2:$A$88,SECTOR!$B$2:$B$88,"")</f>
        <v/>
      </c>
      <c r="G811" t="str">
        <f>_xlfn.XLOOKUP(LEFT(A811,3),INDUSTRY!$A$2:$A$259,INDUSTRY!$A$2:$A$259,"")</f>
        <v>962</v>
      </c>
      <c r="H811" t="str">
        <f>_xlfn.XLOOKUP(LEFT(A811,3),INDUSTRY!$A$2:$A$259,INDUSTRY!$B$2:$B$259,"")</f>
        <v>Hairdressing, beauty treatment, day spa and similar activities</v>
      </c>
      <c r="I811" t="str">
        <f t="shared" si="24"/>
        <v>9621</v>
      </c>
      <c r="J811" t="str">
        <f t="shared" si="25"/>
        <v>Hairdressing and barber activities</v>
      </c>
    </row>
    <row r="812" spans="1:10" x14ac:dyDescent="0.25">
      <c r="A812" t="s">
        <v>2301</v>
      </c>
      <c r="B812" t="s">
        <v>2302</v>
      </c>
      <c r="C812" t="s">
        <v>2245</v>
      </c>
      <c r="D812" t="str">
        <f>_xlfn.XLOOKUP(ISIC_Rev_5_english_structure__1[[#This Row],[Column4]],INDUSTRYGROUP!$C$2:$C$23,INDUSTRYGROUP!$D$2:$D$23,"NONE")</f>
        <v>NONE</v>
      </c>
      <c r="E812" t="str">
        <f>_xlfn.XLOOKUP(LEFT(A812,2),SECTOR!$A$2:$A$88,SECTOR!$A$2:$A$88,"")</f>
        <v/>
      </c>
      <c r="F812" t="str">
        <f>_xlfn.XLOOKUP(LEFT(A812,2),SECTOR!$A$2:$A$88,SECTOR!$B$2:$B$88,"")</f>
        <v/>
      </c>
      <c r="G812" t="str">
        <f>_xlfn.XLOOKUP(LEFT(A812,3),INDUSTRY!$A$2:$A$259,INDUSTRY!$A$2:$A$259,"")</f>
        <v>962</v>
      </c>
      <c r="H812" t="str">
        <f>_xlfn.XLOOKUP(LEFT(A812,3),INDUSTRY!$A$2:$A$259,INDUSTRY!$B$2:$B$259,"")</f>
        <v>Hairdressing, beauty treatment, day spa and similar activities</v>
      </c>
      <c r="I812" t="str">
        <f t="shared" si="24"/>
        <v>9622</v>
      </c>
      <c r="J812" t="str">
        <f t="shared" si="25"/>
        <v>Beauty care and other beauty treatment activities</v>
      </c>
    </row>
    <row r="813" spans="1:10" x14ac:dyDescent="0.25">
      <c r="A813" t="s">
        <v>2303</v>
      </c>
      <c r="B813" t="s">
        <v>2304</v>
      </c>
      <c r="C813" t="s">
        <v>2245</v>
      </c>
      <c r="D813" t="str">
        <f>_xlfn.XLOOKUP(ISIC_Rev_5_english_structure__1[[#This Row],[Column4]],INDUSTRYGROUP!$C$2:$C$23,INDUSTRYGROUP!$D$2:$D$23,"NONE")</f>
        <v>NONE</v>
      </c>
      <c r="E813" t="str">
        <f>_xlfn.XLOOKUP(LEFT(A813,2),SECTOR!$A$2:$A$88,SECTOR!$A$2:$A$88,"")</f>
        <v/>
      </c>
      <c r="F813" t="str">
        <f>_xlfn.XLOOKUP(LEFT(A813,2),SECTOR!$A$2:$A$88,SECTOR!$B$2:$B$88,"")</f>
        <v/>
      </c>
      <c r="G813" t="str">
        <f>_xlfn.XLOOKUP(LEFT(A813,3),INDUSTRY!$A$2:$A$259,INDUSTRY!$A$2:$A$259,"")</f>
        <v>962</v>
      </c>
      <c r="H813" t="str">
        <f>_xlfn.XLOOKUP(LEFT(A813,3),INDUSTRY!$A$2:$A$259,INDUSTRY!$B$2:$B$259,"")</f>
        <v>Hairdressing, beauty treatment, day spa and similar activities</v>
      </c>
      <c r="I813" t="str">
        <f t="shared" si="24"/>
        <v>9623</v>
      </c>
      <c r="J813" t="str">
        <f t="shared" si="25"/>
        <v>Day spa, sauna and steam bath activities</v>
      </c>
    </row>
    <row r="814" spans="1:10" x14ac:dyDescent="0.25">
      <c r="A814" t="s">
        <v>2305</v>
      </c>
      <c r="B814" t="s">
        <v>2306</v>
      </c>
      <c r="C814" t="s">
        <v>2245</v>
      </c>
      <c r="D814" t="str">
        <f>_xlfn.XLOOKUP(ISIC_Rev_5_english_structure__1[[#This Row],[Column4]],INDUSTRYGROUP!$C$2:$C$23,INDUSTRYGROUP!$D$2:$D$23,"NONE")</f>
        <v>NONE</v>
      </c>
      <c r="E814" t="str">
        <f>_xlfn.XLOOKUP(LEFT(A814,2),SECTOR!$A$2:$A$88,SECTOR!$A$2:$A$88,"")</f>
        <v/>
      </c>
      <c r="F814" t="str">
        <f>_xlfn.XLOOKUP(LEFT(A814,2),SECTOR!$A$2:$A$88,SECTOR!$B$2:$B$88,"")</f>
        <v/>
      </c>
      <c r="G814" t="str">
        <f>_xlfn.XLOOKUP(LEFT(A814,3),INDUSTRY!$A$2:$A$259,INDUSTRY!$A$2:$A$259,"")</f>
        <v>963</v>
      </c>
      <c r="H814" t="str">
        <f>_xlfn.XLOOKUP(LEFT(A814,3),INDUSTRY!$A$2:$A$259,INDUSTRY!$B$2:$B$259,"")</f>
        <v>Funeral and related activities</v>
      </c>
      <c r="I814" t="str">
        <f t="shared" si="24"/>
        <v/>
      </c>
      <c r="J814" t="str">
        <f t="shared" si="25"/>
        <v/>
      </c>
    </row>
    <row r="815" spans="1:10" x14ac:dyDescent="0.25">
      <c r="A815" t="s">
        <v>2307</v>
      </c>
      <c r="B815" t="s">
        <v>2306</v>
      </c>
      <c r="C815" t="s">
        <v>2245</v>
      </c>
      <c r="D815" t="str">
        <f>_xlfn.XLOOKUP(ISIC_Rev_5_english_structure__1[[#This Row],[Column4]],INDUSTRYGROUP!$C$2:$C$23,INDUSTRYGROUP!$D$2:$D$23,"NONE")</f>
        <v>NONE</v>
      </c>
      <c r="E815" t="str">
        <f>_xlfn.XLOOKUP(LEFT(A815,2),SECTOR!$A$2:$A$88,SECTOR!$A$2:$A$88,"")</f>
        <v/>
      </c>
      <c r="F815" t="str">
        <f>_xlfn.XLOOKUP(LEFT(A815,2),SECTOR!$A$2:$A$88,SECTOR!$B$2:$B$88,"")</f>
        <v/>
      </c>
      <c r="G815" t="str">
        <f>_xlfn.XLOOKUP(LEFT(A815,3),INDUSTRY!$A$2:$A$259,INDUSTRY!$A$2:$A$259,"")</f>
        <v>963</v>
      </c>
      <c r="H815" t="str">
        <f>_xlfn.XLOOKUP(LEFT(A815,3),INDUSTRY!$A$2:$A$259,INDUSTRY!$B$2:$B$259,"")</f>
        <v>Funeral and related activities</v>
      </c>
      <c r="I815" t="str">
        <f t="shared" si="24"/>
        <v>9630</v>
      </c>
      <c r="J815" t="str">
        <f t="shared" si="25"/>
        <v>Funeral and related activities</v>
      </c>
    </row>
    <row r="816" spans="1:10" x14ac:dyDescent="0.25">
      <c r="A816" t="s">
        <v>2308</v>
      </c>
      <c r="B816" t="s">
        <v>2309</v>
      </c>
      <c r="C816" t="s">
        <v>2245</v>
      </c>
      <c r="D816" t="str">
        <f>_xlfn.XLOOKUP(ISIC_Rev_5_english_structure__1[[#This Row],[Column4]],INDUSTRYGROUP!$C$2:$C$23,INDUSTRYGROUP!$D$2:$D$23,"NONE")</f>
        <v>NONE</v>
      </c>
      <c r="E816" t="str">
        <f>_xlfn.XLOOKUP(LEFT(A816,2),SECTOR!$A$2:$A$88,SECTOR!$A$2:$A$88,"")</f>
        <v/>
      </c>
      <c r="F816" t="str">
        <f>_xlfn.XLOOKUP(LEFT(A816,2),SECTOR!$A$2:$A$88,SECTOR!$B$2:$B$88,"")</f>
        <v/>
      </c>
      <c r="G816" t="str">
        <f>_xlfn.XLOOKUP(LEFT(A816,3),INDUSTRY!$A$2:$A$259,INDUSTRY!$A$2:$A$259,"")</f>
        <v>964</v>
      </c>
      <c r="H816" t="str">
        <f>_xlfn.XLOOKUP(LEFT(A816,3),INDUSTRY!$A$2:$A$259,INDUSTRY!$B$2:$B$259,"")</f>
        <v>Intermediation service activities for personal services</v>
      </c>
      <c r="I816" t="str">
        <f t="shared" si="24"/>
        <v/>
      </c>
      <c r="J816" t="str">
        <f t="shared" si="25"/>
        <v/>
      </c>
    </row>
    <row r="817" spans="1:10" x14ac:dyDescent="0.25">
      <c r="A817" t="s">
        <v>2310</v>
      </c>
      <c r="B817" t="s">
        <v>2309</v>
      </c>
      <c r="C817" t="s">
        <v>2245</v>
      </c>
      <c r="D817" t="str">
        <f>_xlfn.XLOOKUP(ISIC_Rev_5_english_structure__1[[#This Row],[Column4]],INDUSTRYGROUP!$C$2:$C$23,INDUSTRYGROUP!$D$2:$D$23,"NONE")</f>
        <v>NONE</v>
      </c>
      <c r="E817" t="str">
        <f>_xlfn.XLOOKUP(LEFT(A817,2),SECTOR!$A$2:$A$88,SECTOR!$A$2:$A$88,"")</f>
        <v/>
      </c>
      <c r="F817" t="str">
        <f>_xlfn.XLOOKUP(LEFT(A817,2),SECTOR!$A$2:$A$88,SECTOR!$B$2:$B$88,"")</f>
        <v/>
      </c>
      <c r="G817" t="str">
        <f>_xlfn.XLOOKUP(LEFT(A817,3),INDUSTRY!$A$2:$A$259,INDUSTRY!$A$2:$A$259,"")</f>
        <v>964</v>
      </c>
      <c r="H817" t="str">
        <f>_xlfn.XLOOKUP(LEFT(A817,3),INDUSTRY!$A$2:$A$259,INDUSTRY!$B$2:$B$259,"")</f>
        <v>Intermediation service activities for personal services</v>
      </c>
      <c r="I817" t="str">
        <f t="shared" si="24"/>
        <v>9640</v>
      </c>
      <c r="J817" t="str">
        <f t="shared" si="25"/>
        <v>Intermediation service activities for personal services</v>
      </c>
    </row>
    <row r="818" spans="1:10" x14ac:dyDescent="0.25">
      <c r="A818" t="s">
        <v>2311</v>
      </c>
      <c r="B818" t="s">
        <v>2312</v>
      </c>
      <c r="C818" t="s">
        <v>2245</v>
      </c>
      <c r="D818" t="str">
        <f>_xlfn.XLOOKUP(ISIC_Rev_5_english_structure__1[[#This Row],[Column4]],INDUSTRYGROUP!$C$2:$C$23,INDUSTRYGROUP!$D$2:$D$23,"NONE")</f>
        <v>NONE</v>
      </c>
      <c r="E818" t="str">
        <f>_xlfn.XLOOKUP(LEFT(A818,2),SECTOR!$A$2:$A$88,SECTOR!$A$2:$A$88,"")</f>
        <v/>
      </c>
      <c r="F818" t="str">
        <f>_xlfn.XLOOKUP(LEFT(A818,2),SECTOR!$A$2:$A$88,SECTOR!$B$2:$B$88,"")</f>
        <v/>
      </c>
      <c r="G818" t="str">
        <f>_xlfn.XLOOKUP(LEFT(A818,3),INDUSTRY!$A$2:$A$259,INDUSTRY!$A$2:$A$259,"")</f>
        <v>969</v>
      </c>
      <c r="H818" t="str">
        <f>_xlfn.XLOOKUP(LEFT(A818,3),INDUSTRY!$A$2:$A$259,INDUSTRY!$B$2:$B$259,"")</f>
        <v>Other personal service activities n.e.c.</v>
      </c>
      <c r="I818" t="str">
        <f t="shared" si="24"/>
        <v/>
      </c>
      <c r="J818" t="str">
        <f t="shared" si="25"/>
        <v/>
      </c>
    </row>
    <row r="819" spans="1:10" x14ac:dyDescent="0.25">
      <c r="A819" t="s">
        <v>2313</v>
      </c>
      <c r="B819" t="s">
        <v>2312</v>
      </c>
      <c r="C819" t="s">
        <v>2245</v>
      </c>
      <c r="D819" t="str">
        <f>_xlfn.XLOOKUP(ISIC_Rev_5_english_structure__1[[#This Row],[Column4]],INDUSTRYGROUP!$C$2:$C$23,INDUSTRYGROUP!$D$2:$D$23,"NONE")</f>
        <v>NONE</v>
      </c>
      <c r="E819" t="str">
        <f>_xlfn.XLOOKUP(LEFT(A819,2),SECTOR!$A$2:$A$88,SECTOR!$A$2:$A$88,"")</f>
        <v/>
      </c>
      <c r="F819" t="str">
        <f>_xlfn.XLOOKUP(LEFT(A819,2),SECTOR!$A$2:$A$88,SECTOR!$B$2:$B$88,"")</f>
        <v/>
      </c>
      <c r="G819" t="str">
        <f>_xlfn.XLOOKUP(LEFT(A819,3),INDUSTRY!$A$2:$A$259,INDUSTRY!$A$2:$A$259,"")</f>
        <v>969</v>
      </c>
      <c r="H819" t="str">
        <f>_xlfn.XLOOKUP(LEFT(A819,3),INDUSTRY!$A$2:$A$259,INDUSTRY!$B$2:$B$259,"")</f>
        <v>Other personal service activities n.e.c.</v>
      </c>
      <c r="I819" t="str">
        <f t="shared" si="24"/>
        <v>9690</v>
      </c>
      <c r="J819" t="str">
        <f t="shared" si="25"/>
        <v>Other personal service activities n.e.c.</v>
      </c>
    </row>
    <row r="820" spans="1:10" x14ac:dyDescent="0.25">
      <c r="A820" t="s">
        <v>2314</v>
      </c>
      <c r="B820" t="s">
        <v>2315</v>
      </c>
      <c r="C820" t="s">
        <v>2314</v>
      </c>
      <c r="D820" t="str">
        <f>_xlfn.XLOOKUP(ISIC_Rev_5_english_structure__1[[#This Row],[Column4]],INDUSTRYGROUP!$C$2:$C$23,INDUSTRYGROUP!$D$2:$D$23,"NONE")</f>
        <v>NONE</v>
      </c>
      <c r="E820" t="str">
        <f>_xlfn.XLOOKUP(LEFT(A820,2),SECTOR!$A$2:$A$88,SECTOR!$A$2:$A$88,"")</f>
        <v>U</v>
      </c>
      <c r="F820" t="str">
        <f>_xlfn.XLOOKUP(LEFT(A820,2),SECTOR!$A$2:$A$88,SECTOR!$B$2:$B$88,"")</f>
        <v>Activities of households as employers; undifferentiated goods- and services-producing activities of households for own use</v>
      </c>
      <c r="G820" t="str">
        <f>_xlfn.XLOOKUP(LEFT(A820,3),INDUSTRY!$A$2:$A$259,INDUSTRY!$A$2:$A$259,"")</f>
        <v/>
      </c>
      <c r="H820" t="str">
        <f>_xlfn.XLOOKUP(LEFT(A820,3),INDUSTRY!$A$2:$A$259,INDUSTRY!$B$2:$B$259,"")</f>
        <v/>
      </c>
      <c r="I820" t="str">
        <f t="shared" si="24"/>
        <v/>
      </c>
      <c r="J820" t="str">
        <f t="shared" si="25"/>
        <v/>
      </c>
    </row>
    <row r="821" spans="1:10" x14ac:dyDescent="0.25">
      <c r="A821" t="s">
        <v>2316</v>
      </c>
      <c r="B821" t="s">
        <v>2317</v>
      </c>
      <c r="C821" t="s">
        <v>2314</v>
      </c>
      <c r="D821" t="str">
        <f>_xlfn.XLOOKUP(ISIC_Rev_5_english_structure__1[[#This Row],[Column4]],INDUSTRYGROUP!$C$2:$C$23,INDUSTRYGROUP!$D$2:$D$23,"NONE")</f>
        <v>NONE</v>
      </c>
      <c r="E821" t="str">
        <f>_xlfn.XLOOKUP(LEFT(A821,2),SECTOR!$A$2:$A$88,SECTOR!$A$2:$A$88,"")</f>
        <v/>
      </c>
      <c r="F821" t="str">
        <f>_xlfn.XLOOKUP(LEFT(A821,2),SECTOR!$A$2:$A$88,SECTOR!$B$2:$B$88,"")</f>
        <v/>
      </c>
      <c r="G821" t="str">
        <f>_xlfn.XLOOKUP(LEFT(A821,3),INDUSTRY!$A$2:$A$259,INDUSTRY!$A$2:$A$259,"")</f>
        <v/>
      </c>
      <c r="H821" t="str">
        <f>_xlfn.XLOOKUP(LEFT(A821,3),INDUSTRY!$A$2:$A$259,INDUSTRY!$B$2:$B$259,"")</f>
        <v/>
      </c>
      <c r="I821" t="str">
        <f t="shared" si="24"/>
        <v/>
      </c>
      <c r="J821" t="str">
        <f t="shared" si="25"/>
        <v/>
      </c>
    </row>
    <row r="822" spans="1:10" x14ac:dyDescent="0.25">
      <c r="A822" t="s">
        <v>2318</v>
      </c>
      <c r="B822" t="s">
        <v>2317</v>
      </c>
      <c r="C822" t="s">
        <v>2314</v>
      </c>
      <c r="D822" t="str">
        <f>_xlfn.XLOOKUP(ISIC_Rev_5_english_structure__1[[#This Row],[Column4]],INDUSTRYGROUP!$C$2:$C$23,INDUSTRYGROUP!$D$2:$D$23,"NONE")</f>
        <v>NONE</v>
      </c>
      <c r="E822" t="str">
        <f>_xlfn.XLOOKUP(LEFT(A822,2),SECTOR!$A$2:$A$88,SECTOR!$A$2:$A$88,"")</f>
        <v/>
      </c>
      <c r="F822" t="str">
        <f>_xlfn.XLOOKUP(LEFT(A822,2),SECTOR!$A$2:$A$88,SECTOR!$B$2:$B$88,"")</f>
        <v/>
      </c>
      <c r="G822" t="str">
        <f>_xlfn.XLOOKUP(LEFT(A822,3),INDUSTRY!$A$2:$A$259,INDUSTRY!$A$2:$A$259,"")</f>
        <v>970</v>
      </c>
      <c r="H822" t="str">
        <f>_xlfn.XLOOKUP(LEFT(A822,3),INDUSTRY!$A$2:$A$259,INDUSTRY!$B$2:$B$259,"")</f>
        <v>Activities of households as employers of domestic personnel</v>
      </c>
      <c r="I822" t="str">
        <f t="shared" si="24"/>
        <v/>
      </c>
      <c r="J822" t="str">
        <f t="shared" si="25"/>
        <v/>
      </c>
    </row>
    <row r="823" spans="1:10" x14ac:dyDescent="0.25">
      <c r="A823" t="s">
        <v>2319</v>
      </c>
      <c r="B823" t="s">
        <v>2317</v>
      </c>
      <c r="C823" t="s">
        <v>2314</v>
      </c>
      <c r="D823" t="str">
        <f>_xlfn.XLOOKUP(ISIC_Rev_5_english_structure__1[[#This Row],[Column4]],INDUSTRYGROUP!$C$2:$C$23,INDUSTRYGROUP!$D$2:$D$23,"NONE")</f>
        <v>NONE</v>
      </c>
      <c r="E823" t="str">
        <f>_xlfn.XLOOKUP(LEFT(A823,2),SECTOR!$A$2:$A$88,SECTOR!$A$2:$A$88,"")</f>
        <v/>
      </c>
      <c r="F823" t="str">
        <f>_xlfn.XLOOKUP(LEFT(A823,2),SECTOR!$A$2:$A$88,SECTOR!$B$2:$B$88,"")</f>
        <v/>
      </c>
      <c r="G823" t="str">
        <f>_xlfn.XLOOKUP(LEFT(A823,3),INDUSTRY!$A$2:$A$259,INDUSTRY!$A$2:$A$259,"")</f>
        <v>970</v>
      </c>
      <c r="H823" t="str">
        <f>_xlfn.XLOOKUP(LEFT(A823,3),INDUSTRY!$A$2:$A$259,INDUSTRY!$B$2:$B$259,"")</f>
        <v>Activities of households as employers of domestic personnel</v>
      </c>
      <c r="I823" t="str">
        <f t="shared" si="24"/>
        <v>9700</v>
      </c>
      <c r="J823" t="str">
        <f t="shared" si="25"/>
        <v>Activities of households as employers of domestic personnel</v>
      </c>
    </row>
    <row r="824" spans="1:10" x14ac:dyDescent="0.25">
      <c r="A824" t="s">
        <v>2320</v>
      </c>
      <c r="B824" t="s">
        <v>2321</v>
      </c>
      <c r="C824" t="s">
        <v>2314</v>
      </c>
      <c r="D824" t="str">
        <f>_xlfn.XLOOKUP(ISIC_Rev_5_english_structure__1[[#This Row],[Column4]],INDUSTRYGROUP!$C$2:$C$23,INDUSTRYGROUP!$D$2:$D$23,"NONE")</f>
        <v>NONE</v>
      </c>
      <c r="E824" t="str">
        <f>_xlfn.XLOOKUP(LEFT(A824,2),SECTOR!$A$2:$A$88,SECTOR!$A$2:$A$88,"")</f>
        <v/>
      </c>
      <c r="F824" t="str">
        <f>_xlfn.XLOOKUP(LEFT(A824,2),SECTOR!$A$2:$A$88,SECTOR!$B$2:$B$88,"")</f>
        <v/>
      </c>
      <c r="G824" t="str">
        <f>_xlfn.XLOOKUP(LEFT(A824,3),INDUSTRY!$A$2:$A$259,INDUSTRY!$A$2:$A$259,"")</f>
        <v/>
      </c>
      <c r="H824" t="str">
        <f>_xlfn.XLOOKUP(LEFT(A824,3),INDUSTRY!$A$2:$A$259,INDUSTRY!$B$2:$B$259,"")</f>
        <v/>
      </c>
      <c r="I824" t="str">
        <f t="shared" si="24"/>
        <v/>
      </c>
      <c r="J824" t="str">
        <f t="shared" si="25"/>
        <v/>
      </c>
    </row>
    <row r="825" spans="1:10" x14ac:dyDescent="0.25">
      <c r="A825" t="s">
        <v>2322</v>
      </c>
      <c r="B825" t="s">
        <v>2323</v>
      </c>
      <c r="C825" t="s">
        <v>2314</v>
      </c>
      <c r="D825" t="str">
        <f>_xlfn.XLOOKUP(ISIC_Rev_5_english_structure__1[[#This Row],[Column4]],INDUSTRYGROUP!$C$2:$C$23,INDUSTRYGROUP!$D$2:$D$23,"NONE")</f>
        <v>NONE</v>
      </c>
      <c r="E825" t="str">
        <f>_xlfn.XLOOKUP(LEFT(A825,2),SECTOR!$A$2:$A$88,SECTOR!$A$2:$A$88,"")</f>
        <v/>
      </c>
      <c r="F825" t="str">
        <f>_xlfn.XLOOKUP(LEFT(A825,2),SECTOR!$A$2:$A$88,SECTOR!$B$2:$B$88,"")</f>
        <v/>
      </c>
      <c r="G825" t="str">
        <f>_xlfn.XLOOKUP(LEFT(A825,3),INDUSTRY!$A$2:$A$259,INDUSTRY!$A$2:$A$259,"")</f>
        <v>981</v>
      </c>
      <c r="H825" t="str">
        <f>_xlfn.XLOOKUP(LEFT(A825,3),INDUSTRY!$A$2:$A$259,INDUSTRY!$B$2:$B$259,"")</f>
        <v>Undifferentiated goods-producing activities of private households for own use</v>
      </c>
      <c r="I825" t="str">
        <f t="shared" si="24"/>
        <v/>
      </c>
      <c r="J825" t="str">
        <f t="shared" si="25"/>
        <v/>
      </c>
    </row>
    <row r="826" spans="1:10" x14ac:dyDescent="0.25">
      <c r="A826" t="s">
        <v>2324</v>
      </c>
      <c r="B826" t="s">
        <v>2323</v>
      </c>
      <c r="C826" t="s">
        <v>2314</v>
      </c>
      <c r="D826" t="str">
        <f>_xlfn.XLOOKUP(ISIC_Rev_5_english_structure__1[[#This Row],[Column4]],INDUSTRYGROUP!$C$2:$C$23,INDUSTRYGROUP!$D$2:$D$23,"NONE")</f>
        <v>NONE</v>
      </c>
      <c r="E826" t="str">
        <f>_xlfn.XLOOKUP(LEFT(A826,2),SECTOR!$A$2:$A$88,SECTOR!$A$2:$A$88,"")</f>
        <v/>
      </c>
      <c r="F826" t="str">
        <f>_xlfn.XLOOKUP(LEFT(A826,2),SECTOR!$A$2:$A$88,SECTOR!$B$2:$B$88,"")</f>
        <v/>
      </c>
      <c r="G826" t="str">
        <f>_xlfn.XLOOKUP(LEFT(A826,3),INDUSTRY!$A$2:$A$259,INDUSTRY!$A$2:$A$259,"")</f>
        <v>981</v>
      </c>
      <c r="H826" t="str">
        <f>_xlfn.XLOOKUP(LEFT(A826,3),INDUSTRY!$A$2:$A$259,INDUSTRY!$B$2:$B$259,"")</f>
        <v>Undifferentiated goods-producing activities of private households for own use</v>
      </c>
      <c r="I826" t="str">
        <f t="shared" si="24"/>
        <v>9810</v>
      </c>
      <c r="J826" t="str">
        <f t="shared" si="25"/>
        <v>Undifferentiated goods-producing activities of private households for own use</v>
      </c>
    </row>
    <row r="827" spans="1:10" x14ac:dyDescent="0.25">
      <c r="A827" t="s">
        <v>2325</v>
      </c>
      <c r="B827" t="s">
        <v>2326</v>
      </c>
      <c r="C827" t="s">
        <v>2314</v>
      </c>
      <c r="D827" t="str">
        <f>_xlfn.XLOOKUP(ISIC_Rev_5_english_structure__1[[#This Row],[Column4]],INDUSTRYGROUP!$C$2:$C$23,INDUSTRYGROUP!$D$2:$D$23,"NONE")</f>
        <v>NONE</v>
      </c>
      <c r="E827" t="str">
        <f>_xlfn.XLOOKUP(LEFT(A827,2),SECTOR!$A$2:$A$88,SECTOR!$A$2:$A$88,"")</f>
        <v/>
      </c>
      <c r="F827" t="str">
        <f>_xlfn.XLOOKUP(LEFT(A827,2),SECTOR!$A$2:$A$88,SECTOR!$B$2:$B$88,"")</f>
        <v/>
      </c>
      <c r="G827" t="str">
        <f>_xlfn.XLOOKUP(LEFT(A827,3),INDUSTRY!$A$2:$A$259,INDUSTRY!$A$2:$A$259,"")</f>
        <v>982</v>
      </c>
      <c r="H827" t="str">
        <f>_xlfn.XLOOKUP(LEFT(A827,3),INDUSTRY!$A$2:$A$259,INDUSTRY!$B$2:$B$259,"")</f>
        <v>Undifferentiated service-producing activities of private households for own use</v>
      </c>
      <c r="I827" t="str">
        <f t="shared" si="24"/>
        <v/>
      </c>
      <c r="J827" t="str">
        <f t="shared" si="25"/>
        <v/>
      </c>
    </row>
    <row r="828" spans="1:10" x14ac:dyDescent="0.25">
      <c r="A828" t="s">
        <v>2327</v>
      </c>
      <c r="B828" t="s">
        <v>2326</v>
      </c>
      <c r="C828" t="s">
        <v>2314</v>
      </c>
      <c r="D828" t="str">
        <f>_xlfn.XLOOKUP(ISIC_Rev_5_english_structure__1[[#This Row],[Column4]],INDUSTRYGROUP!$C$2:$C$23,INDUSTRYGROUP!$D$2:$D$23,"NONE")</f>
        <v>NONE</v>
      </c>
      <c r="E828" t="str">
        <f>_xlfn.XLOOKUP(LEFT(A828,2),SECTOR!$A$2:$A$88,SECTOR!$A$2:$A$88,"")</f>
        <v/>
      </c>
      <c r="F828" t="str">
        <f>_xlfn.XLOOKUP(LEFT(A828,2),SECTOR!$A$2:$A$88,SECTOR!$B$2:$B$88,"")</f>
        <v/>
      </c>
      <c r="G828" t="str">
        <f>_xlfn.XLOOKUP(LEFT(A828,3),INDUSTRY!$A$2:$A$259,INDUSTRY!$A$2:$A$259,"")</f>
        <v>982</v>
      </c>
      <c r="H828" t="str">
        <f>_xlfn.XLOOKUP(LEFT(A828,3),INDUSTRY!$A$2:$A$259,INDUSTRY!$B$2:$B$259,"")</f>
        <v>Undifferentiated service-producing activities of private households for own use</v>
      </c>
      <c r="I828" t="str">
        <f t="shared" si="24"/>
        <v>9820</v>
      </c>
      <c r="J828" t="str">
        <f t="shared" si="25"/>
        <v>Undifferentiated service-producing activities of private households for own use</v>
      </c>
    </row>
    <row r="829" spans="1:10" x14ac:dyDescent="0.25">
      <c r="A829" t="s">
        <v>2328</v>
      </c>
      <c r="B829" t="s">
        <v>2329</v>
      </c>
      <c r="C829" t="s">
        <v>2328</v>
      </c>
      <c r="D829" t="str">
        <f>_xlfn.XLOOKUP(ISIC_Rev_5_english_structure__1[[#This Row],[Column4]],INDUSTRYGROUP!$C$2:$C$23,INDUSTRYGROUP!$D$2:$D$23,"NONE")</f>
        <v>NONE</v>
      </c>
      <c r="E829" t="str">
        <f>_xlfn.XLOOKUP(LEFT(A829,2),SECTOR!$A$2:$A$88,SECTOR!$A$2:$A$88,"")</f>
        <v>V</v>
      </c>
      <c r="F829" t="str">
        <f>_xlfn.XLOOKUP(LEFT(A829,2),SECTOR!$A$2:$A$88,SECTOR!$B$2:$B$88,"")</f>
        <v xml:space="preserve">Activities of extraterritorial organizations and bodies </v>
      </c>
      <c r="G829" t="str">
        <f>_xlfn.XLOOKUP(LEFT(A829,3),INDUSTRY!$A$2:$A$259,INDUSTRY!$A$2:$A$259,"")</f>
        <v/>
      </c>
      <c r="H829" t="str">
        <f>_xlfn.XLOOKUP(LEFT(A829,3),INDUSTRY!$A$2:$A$259,INDUSTRY!$B$2:$B$259,"")</f>
        <v/>
      </c>
      <c r="I829" t="str">
        <f t="shared" si="24"/>
        <v/>
      </c>
      <c r="J829" t="str">
        <f t="shared" si="25"/>
        <v/>
      </c>
    </row>
    <row r="830" spans="1:10" x14ac:dyDescent="0.25">
      <c r="A830" t="s">
        <v>2330</v>
      </c>
      <c r="B830" t="s">
        <v>2329</v>
      </c>
      <c r="C830" t="s">
        <v>2328</v>
      </c>
      <c r="D830" t="str">
        <f>_xlfn.XLOOKUP(ISIC_Rev_5_english_structure__1[[#This Row],[Column4]],INDUSTRYGROUP!$C$2:$C$23,INDUSTRYGROUP!$D$2:$D$23,"NONE")</f>
        <v>NONE</v>
      </c>
      <c r="E830" t="str">
        <f>_xlfn.XLOOKUP(LEFT(A830,2),SECTOR!$A$2:$A$88,SECTOR!$A$2:$A$88,"")</f>
        <v/>
      </c>
      <c r="F830" t="str">
        <f>_xlfn.XLOOKUP(LEFT(A830,2),SECTOR!$A$2:$A$88,SECTOR!$B$2:$B$88,"")</f>
        <v/>
      </c>
      <c r="G830" t="str">
        <f>_xlfn.XLOOKUP(LEFT(A830,3),INDUSTRY!$A$2:$A$259,INDUSTRY!$A$2:$A$259,"")</f>
        <v/>
      </c>
      <c r="H830" t="str">
        <f>_xlfn.XLOOKUP(LEFT(A830,3),INDUSTRY!$A$2:$A$259,INDUSTRY!$B$2:$B$259,"")</f>
        <v/>
      </c>
      <c r="I830" t="str">
        <f t="shared" si="24"/>
        <v/>
      </c>
      <c r="J830" t="str">
        <f t="shared" si="25"/>
        <v/>
      </c>
    </row>
    <row r="831" spans="1:10" x14ac:dyDescent="0.25">
      <c r="A831" t="s">
        <v>2331</v>
      </c>
      <c r="B831" t="s">
        <v>2329</v>
      </c>
      <c r="C831" t="s">
        <v>2328</v>
      </c>
      <c r="D831" t="str">
        <f>_xlfn.XLOOKUP(ISIC_Rev_5_english_structure__1[[#This Row],[Column4]],INDUSTRYGROUP!$C$2:$C$23,INDUSTRYGROUP!$D$2:$D$23,"NONE")</f>
        <v>NONE</v>
      </c>
      <c r="E831" t="str">
        <f>_xlfn.XLOOKUP(LEFT(A831,2),SECTOR!$A$2:$A$88,SECTOR!$A$2:$A$88,"")</f>
        <v/>
      </c>
      <c r="F831" t="str">
        <f>_xlfn.XLOOKUP(LEFT(A831,2),SECTOR!$A$2:$A$88,SECTOR!$B$2:$B$88,"")</f>
        <v/>
      </c>
      <c r="G831" t="str">
        <f>_xlfn.XLOOKUP(LEFT(A831,3),INDUSTRY!$A$2:$A$259,INDUSTRY!$A$2:$A$259,"")</f>
        <v>990</v>
      </c>
      <c r="H831" t="str">
        <f>_xlfn.XLOOKUP(LEFT(A831,3),INDUSTRY!$A$2:$A$259,INDUSTRY!$B$2:$B$259,"")</f>
        <v xml:space="preserve">Activities of extraterritorial organizations and bodies </v>
      </c>
      <c r="I831" t="str">
        <f t="shared" si="24"/>
        <v/>
      </c>
      <c r="J831" t="str">
        <f t="shared" si="25"/>
        <v/>
      </c>
    </row>
    <row r="832" spans="1:10" x14ac:dyDescent="0.25">
      <c r="A832" t="s">
        <v>2332</v>
      </c>
      <c r="B832" t="s">
        <v>2329</v>
      </c>
      <c r="C832" t="s">
        <v>2328</v>
      </c>
      <c r="D832" t="str">
        <f>_xlfn.XLOOKUP(ISIC_Rev_5_english_structure__1[[#This Row],[Column4]],INDUSTRYGROUP!$C$2:$C$23,INDUSTRYGROUP!$D$2:$D$23,"NONE")</f>
        <v>NONE</v>
      </c>
      <c r="E832" t="str">
        <f>_xlfn.XLOOKUP(LEFT(A832,2),SECTOR!$A$2:$A$88,SECTOR!$A$2:$A$88,"")</f>
        <v/>
      </c>
      <c r="F832" t="str">
        <f>_xlfn.XLOOKUP(LEFT(A832,2),SECTOR!$A$2:$A$88,SECTOR!$B$2:$B$88,"")</f>
        <v/>
      </c>
      <c r="G832" t="str">
        <f>_xlfn.XLOOKUP(LEFT(A832,3),INDUSTRY!$A$2:$A$259,INDUSTRY!$A$2:$A$259,"")</f>
        <v>990</v>
      </c>
      <c r="H832" t="str">
        <f>_xlfn.XLOOKUP(LEFT(A832,3),INDUSTRY!$A$2:$A$259,INDUSTRY!$B$2:$B$259,"")</f>
        <v xml:space="preserve">Activities of extraterritorial organizations and bodies </v>
      </c>
      <c r="I832" t="str">
        <f t="shared" si="24"/>
        <v>9900</v>
      </c>
      <c r="J832" t="str">
        <f t="shared" si="25"/>
        <v xml:space="preserve">Activities of extraterritorial organizations and bodies 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3E34-22EB-40FD-B0F8-F67B52C599E7}">
  <dimension ref="A1:B831"/>
  <sheetViews>
    <sheetView topLeftCell="A16" workbookViewId="0">
      <selection activeCell="I33" sqref="I3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2" x14ac:dyDescent="0.25">
      <c r="A113" t="s">
        <v>112</v>
      </c>
    </row>
    <row r="114" spans="1:2" x14ac:dyDescent="0.25">
      <c r="A114" t="s">
        <v>113</v>
      </c>
    </row>
    <row r="115" spans="1:2" x14ac:dyDescent="0.25">
      <c r="A115" t="s">
        <v>114</v>
      </c>
    </row>
    <row r="116" spans="1:2" x14ac:dyDescent="0.25">
      <c r="A116" t="s">
        <v>115</v>
      </c>
    </row>
    <row r="117" spans="1:2" x14ac:dyDescent="0.25">
      <c r="A117" t="s">
        <v>116</v>
      </c>
    </row>
    <row r="118" spans="1:2" x14ac:dyDescent="0.25">
      <c r="A118" t="s">
        <v>117</v>
      </c>
    </row>
    <row r="119" spans="1:2" x14ac:dyDescent="0.25">
      <c r="A119" t="s">
        <v>118</v>
      </c>
    </row>
    <row r="120" spans="1:2" x14ac:dyDescent="0.25">
      <c r="A120" t="s">
        <v>119</v>
      </c>
      <c r="B120" t="s">
        <v>120</v>
      </c>
    </row>
    <row r="121" spans="1:2" x14ac:dyDescent="0.25">
      <c r="A121" t="s">
        <v>121</v>
      </c>
    </row>
    <row r="122" spans="1:2" x14ac:dyDescent="0.25">
      <c r="A122" t="s">
        <v>122</v>
      </c>
    </row>
    <row r="123" spans="1:2" x14ac:dyDescent="0.25">
      <c r="A123" t="s">
        <v>123</v>
      </c>
    </row>
    <row r="124" spans="1:2" x14ac:dyDescent="0.25">
      <c r="A124" t="s">
        <v>124</v>
      </c>
    </row>
    <row r="125" spans="1:2" x14ac:dyDescent="0.25">
      <c r="A125" t="s">
        <v>125</v>
      </c>
    </row>
    <row r="126" spans="1:2" x14ac:dyDescent="0.25">
      <c r="A126" t="s">
        <v>126</v>
      </c>
    </row>
    <row r="127" spans="1:2" x14ac:dyDescent="0.25">
      <c r="A127" t="s">
        <v>127</v>
      </c>
    </row>
    <row r="128" spans="1:2" x14ac:dyDescent="0.25">
      <c r="A128" t="s">
        <v>128</v>
      </c>
    </row>
    <row r="129" spans="1:2" x14ac:dyDescent="0.25">
      <c r="A129" t="s">
        <v>129</v>
      </c>
    </row>
    <row r="130" spans="1:2" x14ac:dyDescent="0.25">
      <c r="A130" t="s">
        <v>130</v>
      </c>
    </row>
    <row r="131" spans="1:2" x14ac:dyDescent="0.25">
      <c r="A131" t="s">
        <v>131</v>
      </c>
    </row>
    <row r="132" spans="1:2" x14ac:dyDescent="0.25">
      <c r="A132" t="s">
        <v>132</v>
      </c>
    </row>
    <row r="133" spans="1:2" x14ac:dyDescent="0.25">
      <c r="A133" t="s">
        <v>133</v>
      </c>
    </row>
    <row r="134" spans="1:2" x14ac:dyDescent="0.25">
      <c r="A134" t="s">
        <v>134</v>
      </c>
    </row>
    <row r="135" spans="1:2" x14ac:dyDescent="0.25">
      <c r="A135" t="s">
        <v>135</v>
      </c>
    </row>
    <row r="136" spans="1:2" x14ac:dyDescent="0.25">
      <c r="A136" t="s">
        <v>136</v>
      </c>
    </row>
    <row r="137" spans="1:2" x14ac:dyDescent="0.25">
      <c r="A137" t="s">
        <v>137</v>
      </c>
    </row>
    <row r="138" spans="1:2" x14ac:dyDescent="0.25">
      <c r="A138" t="s">
        <v>138</v>
      </c>
    </row>
    <row r="139" spans="1:2" x14ac:dyDescent="0.25">
      <c r="A139" t="s">
        <v>139</v>
      </c>
    </row>
    <row r="140" spans="1:2" x14ac:dyDescent="0.25">
      <c r="A140" t="s">
        <v>140</v>
      </c>
    </row>
    <row r="141" spans="1:2" x14ac:dyDescent="0.25">
      <c r="A141" t="s">
        <v>141</v>
      </c>
    </row>
    <row r="142" spans="1:2" x14ac:dyDescent="0.25">
      <c r="A142" t="s">
        <v>142</v>
      </c>
    </row>
    <row r="143" spans="1:2" x14ac:dyDescent="0.25">
      <c r="A143" t="s">
        <v>143</v>
      </c>
      <c r="B143" t="s">
        <v>144</v>
      </c>
    </row>
    <row r="144" spans="1:2" x14ac:dyDescent="0.25">
      <c r="A144" t="s">
        <v>145</v>
      </c>
      <c r="B144" t="s">
        <v>146</v>
      </c>
    </row>
    <row r="145" spans="1:2" x14ac:dyDescent="0.25">
      <c r="A145" t="s">
        <v>147</v>
      </c>
    </row>
    <row r="146" spans="1:2" x14ac:dyDescent="0.25">
      <c r="A146" t="s">
        <v>148</v>
      </c>
    </row>
    <row r="147" spans="1:2" x14ac:dyDescent="0.25">
      <c r="A147" t="s">
        <v>149</v>
      </c>
    </row>
    <row r="148" spans="1:2" x14ac:dyDescent="0.25">
      <c r="A148" t="s">
        <v>150</v>
      </c>
      <c r="B148" t="s">
        <v>151</v>
      </c>
    </row>
    <row r="149" spans="1:2" x14ac:dyDescent="0.25">
      <c r="A149" t="s">
        <v>152</v>
      </c>
    </row>
    <row r="150" spans="1:2" x14ac:dyDescent="0.25">
      <c r="A150" t="s">
        <v>153</v>
      </c>
    </row>
    <row r="151" spans="1:2" x14ac:dyDescent="0.25">
      <c r="A151" t="s">
        <v>154</v>
      </c>
    </row>
    <row r="152" spans="1:2" x14ac:dyDescent="0.25">
      <c r="A152" t="s">
        <v>155</v>
      </c>
    </row>
    <row r="153" spans="1:2" x14ac:dyDescent="0.25">
      <c r="A153" t="s">
        <v>156</v>
      </c>
    </row>
    <row r="154" spans="1:2" x14ac:dyDescent="0.25">
      <c r="A154" t="s">
        <v>157</v>
      </c>
    </row>
    <row r="155" spans="1:2" x14ac:dyDescent="0.25">
      <c r="A155" t="s">
        <v>158</v>
      </c>
      <c r="B155" t="s">
        <v>159</v>
      </c>
    </row>
    <row r="156" spans="1:2" x14ac:dyDescent="0.25">
      <c r="A156" t="s">
        <v>160</v>
      </c>
    </row>
    <row r="157" spans="1:2" x14ac:dyDescent="0.25">
      <c r="A157" t="s">
        <v>161</v>
      </c>
    </row>
    <row r="158" spans="1:2" x14ac:dyDescent="0.25">
      <c r="A158" t="s">
        <v>162</v>
      </c>
    </row>
    <row r="159" spans="1:2" x14ac:dyDescent="0.25">
      <c r="A159" t="s">
        <v>163</v>
      </c>
    </row>
    <row r="160" spans="1:2" x14ac:dyDescent="0.25">
      <c r="A160" t="s">
        <v>164</v>
      </c>
    </row>
    <row r="161" spans="1:2" x14ac:dyDescent="0.25">
      <c r="A161" t="s">
        <v>165</v>
      </c>
    </row>
    <row r="162" spans="1:2" x14ac:dyDescent="0.25">
      <c r="A162" t="s">
        <v>166</v>
      </c>
    </row>
    <row r="163" spans="1:2" x14ac:dyDescent="0.25">
      <c r="A163" t="s">
        <v>167</v>
      </c>
    </row>
    <row r="164" spans="1:2" x14ac:dyDescent="0.25">
      <c r="A164" t="s">
        <v>168</v>
      </c>
    </row>
    <row r="165" spans="1:2" x14ac:dyDescent="0.25">
      <c r="A165" t="s">
        <v>169</v>
      </c>
    </row>
    <row r="166" spans="1:2" x14ac:dyDescent="0.25">
      <c r="A166" t="s">
        <v>170</v>
      </c>
    </row>
    <row r="167" spans="1:2" x14ac:dyDescent="0.25">
      <c r="A167" t="s">
        <v>171</v>
      </c>
    </row>
    <row r="168" spans="1:2" x14ac:dyDescent="0.25">
      <c r="A168" t="s">
        <v>172</v>
      </c>
    </row>
    <row r="169" spans="1:2" x14ac:dyDescent="0.25">
      <c r="A169" t="s">
        <v>173</v>
      </c>
    </row>
    <row r="170" spans="1:2" x14ac:dyDescent="0.25">
      <c r="A170" t="s">
        <v>174</v>
      </c>
      <c r="B170" t="s">
        <v>175</v>
      </c>
    </row>
    <row r="171" spans="1:2" x14ac:dyDescent="0.25">
      <c r="A171" t="s">
        <v>176</v>
      </c>
      <c r="B171" t="s">
        <v>175</v>
      </c>
    </row>
    <row r="172" spans="1:2" x14ac:dyDescent="0.25">
      <c r="A172" t="s">
        <v>177</v>
      </c>
    </row>
    <row r="173" spans="1:2" x14ac:dyDescent="0.25">
      <c r="A173" t="s">
        <v>178</v>
      </c>
    </row>
    <row r="174" spans="1:2" x14ac:dyDescent="0.25">
      <c r="A174" t="s">
        <v>179</v>
      </c>
    </row>
    <row r="175" spans="1:2" x14ac:dyDescent="0.25">
      <c r="A175" t="s">
        <v>180</v>
      </c>
    </row>
    <row r="176" spans="1:2" x14ac:dyDescent="0.25">
      <c r="A176" t="s">
        <v>181</v>
      </c>
    </row>
    <row r="177" spans="1:2" x14ac:dyDescent="0.25">
      <c r="A177" t="s">
        <v>182</v>
      </c>
    </row>
    <row r="178" spans="1:2" x14ac:dyDescent="0.25">
      <c r="A178" t="s">
        <v>183</v>
      </c>
    </row>
    <row r="179" spans="1:2" x14ac:dyDescent="0.25">
      <c r="A179" t="s">
        <v>184</v>
      </c>
    </row>
    <row r="180" spans="1:2" x14ac:dyDescent="0.25">
      <c r="A180" t="s">
        <v>185</v>
      </c>
    </row>
    <row r="181" spans="1:2" x14ac:dyDescent="0.25">
      <c r="A181" t="s">
        <v>186</v>
      </c>
    </row>
    <row r="182" spans="1:2" x14ac:dyDescent="0.25">
      <c r="A182" t="s">
        <v>187</v>
      </c>
    </row>
    <row r="183" spans="1:2" x14ac:dyDescent="0.25">
      <c r="A183" t="s">
        <v>188</v>
      </c>
    </row>
    <row r="184" spans="1:2" x14ac:dyDescent="0.25">
      <c r="A184" t="s">
        <v>189</v>
      </c>
    </row>
    <row r="185" spans="1:2" x14ac:dyDescent="0.25">
      <c r="A185" t="s">
        <v>190</v>
      </c>
    </row>
    <row r="186" spans="1:2" x14ac:dyDescent="0.25">
      <c r="A186" t="s">
        <v>191</v>
      </c>
    </row>
    <row r="187" spans="1:2" x14ac:dyDescent="0.25">
      <c r="A187" t="s">
        <v>192</v>
      </c>
    </row>
    <row r="188" spans="1:2" x14ac:dyDescent="0.25">
      <c r="A188" t="s">
        <v>193</v>
      </c>
    </row>
    <row r="189" spans="1:2" x14ac:dyDescent="0.25">
      <c r="A189" t="s">
        <v>194</v>
      </c>
      <c r="B189" t="s">
        <v>195</v>
      </c>
    </row>
    <row r="190" spans="1:2" x14ac:dyDescent="0.25">
      <c r="A190" t="s">
        <v>196</v>
      </c>
    </row>
    <row r="191" spans="1:2" x14ac:dyDescent="0.25">
      <c r="A191" t="s">
        <v>197</v>
      </c>
    </row>
    <row r="192" spans="1:2" x14ac:dyDescent="0.25">
      <c r="A192" t="s">
        <v>198</v>
      </c>
    </row>
    <row r="193" spans="1:1" x14ac:dyDescent="0.25">
      <c r="A193" t="s">
        <v>199</v>
      </c>
    </row>
    <row r="194" spans="1:1" x14ac:dyDescent="0.25">
      <c r="A194" t="s">
        <v>200</v>
      </c>
    </row>
    <row r="195" spans="1:1" x14ac:dyDescent="0.25">
      <c r="A195" t="s">
        <v>201</v>
      </c>
    </row>
    <row r="196" spans="1:1" x14ac:dyDescent="0.25">
      <c r="A196" t="s">
        <v>202</v>
      </c>
    </row>
    <row r="197" spans="1:1" x14ac:dyDescent="0.25">
      <c r="A197" t="s">
        <v>203</v>
      </c>
    </row>
    <row r="198" spans="1:1" x14ac:dyDescent="0.25">
      <c r="A198" t="s">
        <v>204</v>
      </c>
    </row>
    <row r="199" spans="1:1" x14ac:dyDescent="0.25">
      <c r="A199" t="s">
        <v>205</v>
      </c>
    </row>
    <row r="200" spans="1:1" x14ac:dyDescent="0.25">
      <c r="A200" t="s">
        <v>206</v>
      </c>
    </row>
    <row r="201" spans="1:1" x14ac:dyDescent="0.25">
      <c r="A201" t="s">
        <v>207</v>
      </c>
    </row>
    <row r="202" spans="1:1" x14ac:dyDescent="0.25">
      <c r="A202" t="s">
        <v>208</v>
      </c>
    </row>
    <row r="203" spans="1:1" x14ac:dyDescent="0.25">
      <c r="A203" t="s">
        <v>209</v>
      </c>
    </row>
    <row r="204" spans="1:1" x14ac:dyDescent="0.25">
      <c r="A204" t="s">
        <v>210</v>
      </c>
    </row>
    <row r="205" spans="1:1" x14ac:dyDescent="0.25">
      <c r="A205" t="s">
        <v>211</v>
      </c>
    </row>
    <row r="206" spans="1:1" x14ac:dyDescent="0.25">
      <c r="A206" t="s">
        <v>212</v>
      </c>
    </row>
    <row r="207" spans="1:1" x14ac:dyDescent="0.25">
      <c r="A207" t="s">
        <v>213</v>
      </c>
    </row>
    <row r="208" spans="1:1" x14ac:dyDescent="0.25">
      <c r="A208" t="s">
        <v>214</v>
      </c>
    </row>
    <row r="209" spans="1:2" x14ac:dyDescent="0.25">
      <c r="A209" t="s">
        <v>215</v>
      </c>
    </row>
    <row r="210" spans="1:2" x14ac:dyDescent="0.25">
      <c r="A210" t="s">
        <v>216</v>
      </c>
    </row>
    <row r="211" spans="1:2" x14ac:dyDescent="0.25">
      <c r="A211" t="s">
        <v>217</v>
      </c>
    </row>
    <row r="212" spans="1:2" x14ac:dyDescent="0.25">
      <c r="A212" t="s">
        <v>218</v>
      </c>
    </row>
    <row r="213" spans="1:2" x14ac:dyDescent="0.25">
      <c r="A213" t="s">
        <v>219</v>
      </c>
    </row>
    <row r="214" spans="1:2" x14ac:dyDescent="0.25">
      <c r="A214" t="s">
        <v>220</v>
      </c>
    </row>
    <row r="215" spans="1:2" x14ac:dyDescent="0.25">
      <c r="A215" t="s">
        <v>221</v>
      </c>
    </row>
    <row r="216" spans="1:2" x14ac:dyDescent="0.25">
      <c r="A216" t="s">
        <v>222</v>
      </c>
    </row>
    <row r="217" spans="1:2" x14ac:dyDescent="0.25">
      <c r="A217" t="s">
        <v>223</v>
      </c>
    </row>
    <row r="218" spans="1:2" x14ac:dyDescent="0.25">
      <c r="A218" t="s">
        <v>224</v>
      </c>
    </row>
    <row r="219" spans="1:2" x14ac:dyDescent="0.25">
      <c r="A219" t="s">
        <v>225</v>
      </c>
      <c r="B219" t="s">
        <v>226</v>
      </c>
    </row>
    <row r="220" spans="1:2" x14ac:dyDescent="0.25">
      <c r="A220" t="s">
        <v>227</v>
      </c>
      <c r="B220" t="s">
        <v>228</v>
      </c>
    </row>
    <row r="221" spans="1:2" x14ac:dyDescent="0.25">
      <c r="A221" t="s">
        <v>229</v>
      </c>
      <c r="B221" t="s">
        <v>230</v>
      </c>
    </row>
    <row r="222" spans="1:2" x14ac:dyDescent="0.25">
      <c r="A222" t="s">
        <v>231</v>
      </c>
    </row>
    <row r="223" spans="1:2" x14ac:dyDescent="0.25">
      <c r="A223" t="s">
        <v>232</v>
      </c>
    </row>
    <row r="224" spans="1:2" x14ac:dyDescent="0.25">
      <c r="A224" t="s">
        <v>233</v>
      </c>
    </row>
    <row r="225" spans="1:2" x14ac:dyDescent="0.25">
      <c r="A225" t="s">
        <v>234</v>
      </c>
    </row>
    <row r="226" spans="1:2" x14ac:dyDescent="0.25">
      <c r="A226" t="s">
        <v>235</v>
      </c>
    </row>
    <row r="227" spans="1:2" x14ac:dyDescent="0.25">
      <c r="A227" t="s">
        <v>236</v>
      </c>
    </row>
    <row r="228" spans="1:2" x14ac:dyDescent="0.25">
      <c r="A228" t="s">
        <v>237</v>
      </c>
    </row>
    <row r="229" spans="1:2" x14ac:dyDescent="0.25">
      <c r="A229" t="s">
        <v>238</v>
      </c>
    </row>
    <row r="230" spans="1:2" x14ac:dyDescent="0.25">
      <c r="A230" t="s">
        <v>239</v>
      </c>
    </row>
    <row r="231" spans="1:2" x14ac:dyDescent="0.25">
      <c r="A231" t="s">
        <v>240</v>
      </c>
    </row>
    <row r="232" spans="1:2" x14ac:dyDescent="0.25">
      <c r="A232" t="s">
        <v>241</v>
      </c>
    </row>
    <row r="233" spans="1:2" x14ac:dyDescent="0.25">
      <c r="A233" t="s">
        <v>242</v>
      </c>
    </row>
    <row r="234" spans="1:2" x14ac:dyDescent="0.25">
      <c r="A234" t="s">
        <v>243</v>
      </c>
      <c r="B234" t="s">
        <v>244</v>
      </c>
    </row>
    <row r="235" spans="1:2" x14ac:dyDescent="0.25">
      <c r="A235" t="s">
        <v>245</v>
      </c>
    </row>
    <row r="236" spans="1:2" x14ac:dyDescent="0.25">
      <c r="A236" t="s">
        <v>246</v>
      </c>
    </row>
    <row r="237" spans="1:2" x14ac:dyDescent="0.25">
      <c r="A237" t="s">
        <v>247</v>
      </c>
    </row>
    <row r="238" spans="1:2" x14ac:dyDescent="0.25">
      <c r="A238" t="s">
        <v>248</v>
      </c>
    </row>
    <row r="239" spans="1:2" x14ac:dyDescent="0.25">
      <c r="A239" t="s">
        <v>249</v>
      </c>
    </row>
    <row r="240" spans="1:2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2" x14ac:dyDescent="0.25">
      <c r="A273" t="s">
        <v>283</v>
      </c>
    </row>
    <row r="274" spans="1:2" x14ac:dyDescent="0.25">
      <c r="A274" t="s">
        <v>284</v>
      </c>
    </row>
    <row r="275" spans="1:2" x14ac:dyDescent="0.25">
      <c r="A275" t="s">
        <v>285</v>
      </c>
    </row>
    <row r="276" spans="1:2" x14ac:dyDescent="0.25">
      <c r="A276" t="s">
        <v>286</v>
      </c>
    </row>
    <row r="277" spans="1:2" x14ac:dyDescent="0.25">
      <c r="A277" t="s">
        <v>287</v>
      </c>
    </row>
    <row r="278" spans="1:2" x14ac:dyDescent="0.25">
      <c r="A278" t="s">
        <v>288</v>
      </c>
    </row>
    <row r="279" spans="1:2" x14ac:dyDescent="0.25">
      <c r="A279" t="s">
        <v>289</v>
      </c>
    </row>
    <row r="280" spans="1:2" x14ac:dyDescent="0.25">
      <c r="A280" t="s">
        <v>290</v>
      </c>
      <c r="B280" t="s">
        <v>291</v>
      </c>
    </row>
    <row r="281" spans="1:2" x14ac:dyDescent="0.25">
      <c r="A281" t="s">
        <v>292</v>
      </c>
      <c r="B281" t="s">
        <v>291</v>
      </c>
    </row>
    <row r="282" spans="1:2" x14ac:dyDescent="0.25">
      <c r="A282" t="s">
        <v>293</v>
      </c>
    </row>
    <row r="283" spans="1:2" x14ac:dyDescent="0.25">
      <c r="A283" t="s">
        <v>294</v>
      </c>
    </row>
    <row r="284" spans="1:2" x14ac:dyDescent="0.25">
      <c r="A284" t="s">
        <v>295</v>
      </c>
    </row>
    <row r="285" spans="1:2" x14ac:dyDescent="0.25">
      <c r="A285" t="s">
        <v>296</v>
      </c>
    </row>
    <row r="286" spans="1:2" x14ac:dyDescent="0.25">
      <c r="A286" t="s">
        <v>297</v>
      </c>
    </row>
    <row r="287" spans="1:2" x14ac:dyDescent="0.25">
      <c r="A287" t="s">
        <v>298</v>
      </c>
    </row>
    <row r="288" spans="1:2" x14ac:dyDescent="0.25">
      <c r="A288" t="s">
        <v>299</v>
      </c>
    </row>
    <row r="289" spans="1:1" x14ac:dyDescent="0.25">
      <c r="A289" t="s">
        <v>300</v>
      </c>
    </row>
    <row r="290" spans="1:1" x14ac:dyDescent="0.25">
      <c r="A290" t="s">
        <v>301</v>
      </c>
    </row>
    <row r="291" spans="1:1" x14ac:dyDescent="0.25">
      <c r="A291" t="s">
        <v>302</v>
      </c>
    </row>
    <row r="292" spans="1:1" x14ac:dyDescent="0.25">
      <c r="A292" t="s">
        <v>303</v>
      </c>
    </row>
    <row r="293" spans="1:1" x14ac:dyDescent="0.25">
      <c r="A293" t="s">
        <v>304</v>
      </c>
    </row>
    <row r="294" spans="1:1" x14ac:dyDescent="0.25">
      <c r="A294" t="s">
        <v>305</v>
      </c>
    </row>
    <row r="295" spans="1:1" x14ac:dyDescent="0.25">
      <c r="A295" t="s">
        <v>306</v>
      </c>
    </row>
    <row r="296" spans="1:1" x14ac:dyDescent="0.25">
      <c r="A296" t="s">
        <v>307</v>
      </c>
    </row>
    <row r="297" spans="1:1" x14ac:dyDescent="0.25">
      <c r="A297" t="s">
        <v>308</v>
      </c>
    </row>
    <row r="298" spans="1:1" x14ac:dyDescent="0.25">
      <c r="A298" t="s">
        <v>309</v>
      </c>
    </row>
    <row r="299" spans="1:1" x14ac:dyDescent="0.25">
      <c r="A299" t="s">
        <v>310</v>
      </c>
    </row>
    <row r="300" spans="1:1" x14ac:dyDescent="0.25">
      <c r="A300" t="s">
        <v>311</v>
      </c>
    </row>
    <row r="301" spans="1:1" x14ac:dyDescent="0.25">
      <c r="A301" t="s">
        <v>312</v>
      </c>
    </row>
    <row r="302" spans="1:1" x14ac:dyDescent="0.25">
      <c r="A302" t="s">
        <v>313</v>
      </c>
    </row>
    <row r="303" spans="1:1" x14ac:dyDescent="0.25">
      <c r="A303" t="s">
        <v>314</v>
      </c>
    </row>
    <row r="304" spans="1:1" x14ac:dyDescent="0.25">
      <c r="A304" t="s">
        <v>315</v>
      </c>
    </row>
    <row r="305" spans="1:1" x14ac:dyDescent="0.25">
      <c r="A305" t="s">
        <v>316</v>
      </c>
    </row>
    <row r="306" spans="1:1" x14ac:dyDescent="0.25">
      <c r="A306" t="s">
        <v>317</v>
      </c>
    </row>
    <row r="307" spans="1:1" x14ac:dyDescent="0.25">
      <c r="A307" t="s">
        <v>318</v>
      </c>
    </row>
    <row r="308" spans="1:1" x14ac:dyDescent="0.25">
      <c r="A308" t="s">
        <v>319</v>
      </c>
    </row>
    <row r="309" spans="1:1" x14ac:dyDescent="0.25">
      <c r="A309" t="s">
        <v>320</v>
      </c>
    </row>
    <row r="310" spans="1:1" x14ac:dyDescent="0.25">
      <c r="A310" t="s">
        <v>321</v>
      </c>
    </row>
    <row r="311" spans="1:1" x14ac:dyDescent="0.25">
      <c r="A311" t="s">
        <v>322</v>
      </c>
    </row>
    <row r="312" spans="1:1" x14ac:dyDescent="0.25">
      <c r="A312" t="s">
        <v>323</v>
      </c>
    </row>
    <row r="313" spans="1:1" x14ac:dyDescent="0.25">
      <c r="A313" t="s">
        <v>324</v>
      </c>
    </row>
    <row r="314" spans="1:1" x14ac:dyDescent="0.25">
      <c r="A314" t="s">
        <v>325</v>
      </c>
    </row>
    <row r="315" spans="1:1" x14ac:dyDescent="0.25">
      <c r="A315" t="s">
        <v>326</v>
      </c>
    </row>
    <row r="316" spans="1:1" x14ac:dyDescent="0.25">
      <c r="A316" t="s">
        <v>327</v>
      </c>
    </row>
    <row r="317" spans="1:1" x14ac:dyDescent="0.25">
      <c r="A317" t="s">
        <v>328</v>
      </c>
    </row>
    <row r="318" spans="1:1" x14ac:dyDescent="0.25">
      <c r="A318" t="s">
        <v>329</v>
      </c>
    </row>
    <row r="319" spans="1:1" x14ac:dyDescent="0.25">
      <c r="A319" t="s">
        <v>330</v>
      </c>
    </row>
    <row r="320" spans="1:1" x14ac:dyDescent="0.25">
      <c r="A320" t="s">
        <v>331</v>
      </c>
    </row>
    <row r="321" spans="1:2" x14ac:dyDescent="0.25">
      <c r="A321" t="s">
        <v>332</v>
      </c>
    </row>
    <row r="322" spans="1:2" x14ac:dyDescent="0.25">
      <c r="A322" t="s">
        <v>333</v>
      </c>
    </row>
    <row r="323" spans="1:2" x14ac:dyDescent="0.25">
      <c r="A323" t="s">
        <v>334</v>
      </c>
    </row>
    <row r="324" spans="1:2" x14ac:dyDescent="0.25">
      <c r="A324" t="s">
        <v>335</v>
      </c>
    </row>
    <row r="325" spans="1:2" x14ac:dyDescent="0.25">
      <c r="A325" t="s">
        <v>336</v>
      </c>
    </row>
    <row r="326" spans="1:2" x14ac:dyDescent="0.25">
      <c r="A326" t="s">
        <v>337</v>
      </c>
    </row>
    <row r="327" spans="1:2" x14ac:dyDescent="0.25">
      <c r="A327" t="s">
        <v>338</v>
      </c>
    </row>
    <row r="328" spans="1:2" x14ac:dyDescent="0.25">
      <c r="A328" t="s">
        <v>339</v>
      </c>
    </row>
    <row r="329" spans="1:2" x14ac:dyDescent="0.25">
      <c r="A329" t="s">
        <v>340</v>
      </c>
    </row>
    <row r="330" spans="1:2" x14ac:dyDescent="0.25">
      <c r="A330" t="s">
        <v>341</v>
      </c>
    </row>
    <row r="331" spans="1:2" x14ac:dyDescent="0.25">
      <c r="A331" t="s">
        <v>342</v>
      </c>
    </row>
    <row r="332" spans="1:2" x14ac:dyDescent="0.25">
      <c r="A332" t="s">
        <v>343</v>
      </c>
      <c r="B332" t="s">
        <v>344</v>
      </c>
    </row>
    <row r="333" spans="1:2" x14ac:dyDescent="0.25">
      <c r="A333" t="s">
        <v>345</v>
      </c>
      <c r="B333" t="s">
        <v>344</v>
      </c>
    </row>
    <row r="334" spans="1:2" x14ac:dyDescent="0.25">
      <c r="A334" t="s">
        <v>346</v>
      </c>
    </row>
    <row r="335" spans="1:2" x14ac:dyDescent="0.25">
      <c r="A335" t="s">
        <v>347</v>
      </c>
    </row>
    <row r="336" spans="1:2" x14ac:dyDescent="0.25">
      <c r="A336" t="s">
        <v>348</v>
      </c>
    </row>
    <row r="337" spans="1:2" x14ac:dyDescent="0.25">
      <c r="A337" t="s">
        <v>349</v>
      </c>
    </row>
    <row r="338" spans="1:2" x14ac:dyDescent="0.25">
      <c r="A338" t="s">
        <v>350</v>
      </c>
      <c r="B338" t="s">
        <v>351</v>
      </c>
    </row>
    <row r="339" spans="1:2" x14ac:dyDescent="0.25">
      <c r="A339" t="s">
        <v>352</v>
      </c>
    </row>
    <row r="340" spans="1:2" x14ac:dyDescent="0.25">
      <c r="A340" t="s">
        <v>353</v>
      </c>
    </row>
    <row r="341" spans="1:2" x14ac:dyDescent="0.25">
      <c r="A341" t="s">
        <v>354</v>
      </c>
    </row>
    <row r="342" spans="1:2" x14ac:dyDescent="0.25">
      <c r="A342" t="s">
        <v>355</v>
      </c>
    </row>
    <row r="343" spans="1:2" x14ac:dyDescent="0.25">
      <c r="A343" t="s">
        <v>356</v>
      </c>
    </row>
    <row r="344" spans="1:2" x14ac:dyDescent="0.25">
      <c r="A344" t="s">
        <v>357</v>
      </c>
    </row>
    <row r="345" spans="1:2" x14ac:dyDescent="0.25">
      <c r="A345" t="s">
        <v>358</v>
      </c>
    </row>
    <row r="346" spans="1:2" x14ac:dyDescent="0.25">
      <c r="A346" t="s">
        <v>359</v>
      </c>
    </row>
    <row r="347" spans="1:2" x14ac:dyDescent="0.25">
      <c r="A347" t="s">
        <v>360</v>
      </c>
    </row>
    <row r="348" spans="1:2" x14ac:dyDescent="0.25">
      <c r="A348" t="s">
        <v>361</v>
      </c>
    </row>
    <row r="349" spans="1:2" x14ac:dyDescent="0.25">
      <c r="A349" t="s">
        <v>362</v>
      </c>
    </row>
    <row r="350" spans="1:2" x14ac:dyDescent="0.25">
      <c r="A350" t="s">
        <v>363</v>
      </c>
    </row>
    <row r="351" spans="1:2" x14ac:dyDescent="0.25">
      <c r="A351" t="s">
        <v>364</v>
      </c>
    </row>
    <row r="352" spans="1:2" x14ac:dyDescent="0.25">
      <c r="A352" t="s">
        <v>365</v>
      </c>
    </row>
    <row r="353" spans="1:1" x14ac:dyDescent="0.25">
      <c r="A353" t="s">
        <v>366</v>
      </c>
    </row>
    <row r="354" spans="1:1" x14ac:dyDescent="0.25">
      <c r="A354" t="s">
        <v>367</v>
      </c>
    </row>
    <row r="355" spans="1:1" x14ac:dyDescent="0.25">
      <c r="A355" t="s">
        <v>368</v>
      </c>
    </row>
    <row r="356" spans="1:1" x14ac:dyDescent="0.25">
      <c r="A356" t="s">
        <v>369</v>
      </c>
    </row>
    <row r="357" spans="1:1" x14ac:dyDescent="0.25">
      <c r="A357" t="s">
        <v>370</v>
      </c>
    </row>
    <row r="358" spans="1:1" x14ac:dyDescent="0.25">
      <c r="A358" t="s">
        <v>371</v>
      </c>
    </row>
    <row r="359" spans="1:1" x14ac:dyDescent="0.25">
      <c r="A359" t="s">
        <v>372</v>
      </c>
    </row>
    <row r="360" spans="1:1" x14ac:dyDescent="0.25">
      <c r="A360" t="s">
        <v>373</v>
      </c>
    </row>
    <row r="361" spans="1:1" x14ac:dyDescent="0.25">
      <c r="A361" t="s">
        <v>374</v>
      </c>
    </row>
    <row r="362" spans="1:1" x14ac:dyDescent="0.25">
      <c r="A362" t="s">
        <v>375</v>
      </c>
    </row>
    <row r="363" spans="1:1" x14ac:dyDescent="0.25">
      <c r="A363" t="s">
        <v>376</v>
      </c>
    </row>
    <row r="364" spans="1:1" x14ac:dyDescent="0.25">
      <c r="A364" t="s">
        <v>377</v>
      </c>
    </row>
    <row r="365" spans="1:1" x14ac:dyDescent="0.25">
      <c r="A365" t="s">
        <v>378</v>
      </c>
    </row>
    <row r="366" spans="1:1" x14ac:dyDescent="0.25">
      <c r="A366" t="s">
        <v>379</v>
      </c>
    </row>
    <row r="367" spans="1:1" x14ac:dyDescent="0.25">
      <c r="A367" t="s">
        <v>380</v>
      </c>
    </row>
    <row r="368" spans="1:1" x14ac:dyDescent="0.25">
      <c r="A368" t="s">
        <v>381</v>
      </c>
    </row>
    <row r="369" spans="1:1" x14ac:dyDescent="0.25">
      <c r="A369" t="s">
        <v>382</v>
      </c>
    </row>
    <row r="370" spans="1:1" x14ac:dyDescent="0.25">
      <c r="A370" t="s">
        <v>383</v>
      </c>
    </row>
    <row r="371" spans="1:1" x14ac:dyDescent="0.25">
      <c r="A371" t="s">
        <v>384</v>
      </c>
    </row>
    <row r="372" spans="1:1" x14ac:dyDescent="0.25">
      <c r="A372" t="s">
        <v>385</v>
      </c>
    </row>
    <row r="373" spans="1:1" x14ac:dyDescent="0.25">
      <c r="A373" t="s">
        <v>386</v>
      </c>
    </row>
    <row r="374" spans="1:1" x14ac:dyDescent="0.25">
      <c r="A374" t="s">
        <v>387</v>
      </c>
    </row>
    <row r="375" spans="1:1" x14ac:dyDescent="0.25">
      <c r="A375" t="s">
        <v>388</v>
      </c>
    </row>
    <row r="376" spans="1:1" x14ac:dyDescent="0.25">
      <c r="A376" t="s">
        <v>389</v>
      </c>
    </row>
    <row r="377" spans="1:1" x14ac:dyDescent="0.25">
      <c r="A377" t="s">
        <v>390</v>
      </c>
    </row>
    <row r="378" spans="1:1" x14ac:dyDescent="0.25">
      <c r="A378" t="s">
        <v>391</v>
      </c>
    </row>
    <row r="379" spans="1:1" x14ac:dyDescent="0.25">
      <c r="A379" t="s">
        <v>392</v>
      </c>
    </row>
    <row r="380" spans="1:1" x14ac:dyDescent="0.25">
      <c r="A380" t="s">
        <v>393</v>
      </c>
    </row>
    <row r="381" spans="1:1" x14ac:dyDescent="0.25">
      <c r="A381" t="s">
        <v>394</v>
      </c>
    </row>
    <row r="382" spans="1:1" x14ac:dyDescent="0.25">
      <c r="A382" t="s">
        <v>395</v>
      </c>
    </row>
    <row r="383" spans="1:1" x14ac:dyDescent="0.25">
      <c r="A383" t="s">
        <v>396</v>
      </c>
    </row>
    <row r="384" spans="1:1" x14ac:dyDescent="0.25">
      <c r="A384" t="s">
        <v>397</v>
      </c>
    </row>
    <row r="385" spans="1:1" x14ac:dyDescent="0.25">
      <c r="A385" t="s">
        <v>398</v>
      </c>
    </row>
    <row r="386" spans="1:1" x14ac:dyDescent="0.25">
      <c r="A386" t="s">
        <v>399</v>
      </c>
    </row>
    <row r="387" spans="1:1" x14ac:dyDescent="0.25">
      <c r="A387" t="s">
        <v>400</v>
      </c>
    </row>
    <row r="388" spans="1:1" x14ac:dyDescent="0.25">
      <c r="A388" t="s">
        <v>401</v>
      </c>
    </row>
    <row r="389" spans="1:1" x14ac:dyDescent="0.25">
      <c r="A389" t="s">
        <v>402</v>
      </c>
    </row>
    <row r="390" spans="1:1" x14ac:dyDescent="0.25">
      <c r="A390" t="s">
        <v>403</v>
      </c>
    </row>
    <row r="391" spans="1:1" x14ac:dyDescent="0.25">
      <c r="A391" t="s">
        <v>404</v>
      </c>
    </row>
    <row r="392" spans="1:1" x14ac:dyDescent="0.25">
      <c r="A392" t="s">
        <v>405</v>
      </c>
    </row>
    <row r="393" spans="1:1" x14ac:dyDescent="0.25">
      <c r="A393" t="s">
        <v>406</v>
      </c>
    </row>
    <row r="394" spans="1:1" x14ac:dyDescent="0.25">
      <c r="A394" t="s">
        <v>407</v>
      </c>
    </row>
    <row r="395" spans="1:1" x14ac:dyDescent="0.25">
      <c r="A395" t="s">
        <v>408</v>
      </c>
    </row>
    <row r="396" spans="1:1" x14ac:dyDescent="0.25">
      <c r="A396" t="s">
        <v>409</v>
      </c>
    </row>
    <row r="397" spans="1:1" x14ac:dyDescent="0.25">
      <c r="A397" t="s">
        <v>410</v>
      </c>
    </row>
    <row r="398" spans="1:1" x14ac:dyDescent="0.25">
      <c r="A398" t="s">
        <v>411</v>
      </c>
    </row>
    <row r="399" spans="1:1" x14ac:dyDescent="0.25">
      <c r="A399" t="s">
        <v>412</v>
      </c>
    </row>
    <row r="400" spans="1:1" x14ac:dyDescent="0.25">
      <c r="A400" t="s">
        <v>413</v>
      </c>
    </row>
    <row r="401" spans="1:1" x14ac:dyDescent="0.25">
      <c r="A401" t="s">
        <v>414</v>
      </c>
    </row>
    <row r="402" spans="1:1" x14ac:dyDescent="0.25">
      <c r="A402" t="s">
        <v>415</v>
      </c>
    </row>
    <row r="403" spans="1:1" x14ac:dyDescent="0.25">
      <c r="A403" t="s">
        <v>416</v>
      </c>
    </row>
    <row r="404" spans="1:1" x14ac:dyDescent="0.25">
      <c r="A404" t="s">
        <v>417</v>
      </c>
    </row>
    <row r="405" spans="1:1" x14ac:dyDescent="0.25">
      <c r="A405" t="s">
        <v>418</v>
      </c>
    </row>
    <row r="406" spans="1:1" x14ac:dyDescent="0.25">
      <c r="A406" t="s">
        <v>419</v>
      </c>
    </row>
    <row r="407" spans="1:1" x14ac:dyDescent="0.25">
      <c r="A407" t="s">
        <v>420</v>
      </c>
    </row>
    <row r="408" spans="1:1" x14ac:dyDescent="0.25">
      <c r="A408" t="s">
        <v>421</v>
      </c>
    </row>
    <row r="409" spans="1:1" x14ac:dyDescent="0.25">
      <c r="A409" t="s">
        <v>422</v>
      </c>
    </row>
    <row r="410" spans="1:1" x14ac:dyDescent="0.25">
      <c r="A410" t="s">
        <v>423</v>
      </c>
    </row>
    <row r="411" spans="1:1" x14ac:dyDescent="0.25">
      <c r="A411" t="s">
        <v>424</v>
      </c>
    </row>
    <row r="412" spans="1:1" x14ac:dyDescent="0.25">
      <c r="A412" t="s">
        <v>425</v>
      </c>
    </row>
    <row r="413" spans="1:1" x14ac:dyDescent="0.25">
      <c r="A413" t="s">
        <v>426</v>
      </c>
    </row>
    <row r="414" spans="1:1" x14ac:dyDescent="0.25">
      <c r="A414" t="s">
        <v>427</v>
      </c>
    </row>
    <row r="415" spans="1:1" x14ac:dyDescent="0.25">
      <c r="A415" t="s">
        <v>428</v>
      </c>
    </row>
    <row r="416" spans="1:1" x14ac:dyDescent="0.25">
      <c r="A416" t="s">
        <v>429</v>
      </c>
    </row>
    <row r="417" spans="1:1" x14ac:dyDescent="0.25">
      <c r="A417" t="s">
        <v>430</v>
      </c>
    </row>
    <row r="418" spans="1:1" x14ac:dyDescent="0.25">
      <c r="A418" t="s">
        <v>431</v>
      </c>
    </row>
    <row r="419" spans="1:1" x14ac:dyDescent="0.25">
      <c r="A419" t="s">
        <v>432</v>
      </c>
    </row>
    <row r="420" spans="1:1" x14ac:dyDescent="0.25">
      <c r="A420" t="s">
        <v>433</v>
      </c>
    </row>
    <row r="421" spans="1:1" x14ac:dyDescent="0.25">
      <c r="A421" t="s">
        <v>434</v>
      </c>
    </row>
    <row r="422" spans="1:1" x14ac:dyDescent="0.25">
      <c r="A422" t="s">
        <v>435</v>
      </c>
    </row>
    <row r="423" spans="1:1" x14ac:dyDescent="0.25">
      <c r="A423" t="s">
        <v>436</v>
      </c>
    </row>
    <row r="424" spans="1:1" x14ac:dyDescent="0.25">
      <c r="A424" t="s">
        <v>437</v>
      </c>
    </row>
    <row r="425" spans="1:1" x14ac:dyDescent="0.25">
      <c r="A425" t="s">
        <v>438</v>
      </c>
    </row>
    <row r="426" spans="1:1" x14ac:dyDescent="0.25">
      <c r="A426" t="s">
        <v>439</v>
      </c>
    </row>
    <row r="427" spans="1:1" x14ac:dyDescent="0.25">
      <c r="A427" t="s">
        <v>440</v>
      </c>
    </row>
    <row r="428" spans="1:1" x14ac:dyDescent="0.25">
      <c r="A428" t="s">
        <v>441</v>
      </c>
    </row>
    <row r="429" spans="1:1" x14ac:dyDescent="0.25">
      <c r="A429" t="s">
        <v>442</v>
      </c>
    </row>
    <row r="430" spans="1:1" x14ac:dyDescent="0.25">
      <c r="A430" t="s">
        <v>443</v>
      </c>
    </row>
    <row r="431" spans="1:1" x14ac:dyDescent="0.25">
      <c r="A431" t="s">
        <v>444</v>
      </c>
    </row>
    <row r="432" spans="1:1" x14ac:dyDescent="0.25">
      <c r="A432" t="s">
        <v>445</v>
      </c>
    </row>
    <row r="433" spans="1:1" x14ac:dyDescent="0.25">
      <c r="A433" t="s">
        <v>446</v>
      </c>
    </row>
    <row r="434" spans="1:1" x14ac:dyDescent="0.25">
      <c r="A434" t="s">
        <v>447</v>
      </c>
    </row>
    <row r="435" spans="1:1" x14ac:dyDescent="0.25">
      <c r="A435" t="s">
        <v>448</v>
      </c>
    </row>
    <row r="436" spans="1:1" x14ac:dyDescent="0.25">
      <c r="A436" t="s">
        <v>449</v>
      </c>
    </row>
    <row r="437" spans="1:1" x14ac:dyDescent="0.25">
      <c r="A437" t="s">
        <v>450</v>
      </c>
    </row>
    <row r="438" spans="1:1" x14ac:dyDescent="0.25">
      <c r="A438" t="s">
        <v>451</v>
      </c>
    </row>
    <row r="439" spans="1:1" x14ac:dyDescent="0.25">
      <c r="A439" t="s">
        <v>452</v>
      </c>
    </row>
    <row r="440" spans="1:1" x14ac:dyDescent="0.25">
      <c r="A440" t="s">
        <v>453</v>
      </c>
    </row>
    <row r="441" spans="1:1" x14ac:dyDescent="0.25">
      <c r="A441" t="s">
        <v>454</v>
      </c>
    </row>
    <row r="442" spans="1:1" x14ac:dyDescent="0.25">
      <c r="A442" t="s">
        <v>455</v>
      </c>
    </row>
    <row r="443" spans="1:1" x14ac:dyDescent="0.25">
      <c r="A443" t="s">
        <v>456</v>
      </c>
    </row>
    <row r="444" spans="1:1" x14ac:dyDescent="0.25">
      <c r="A444" t="s">
        <v>457</v>
      </c>
    </row>
    <row r="445" spans="1:1" x14ac:dyDescent="0.25">
      <c r="A445" t="s">
        <v>458</v>
      </c>
    </row>
    <row r="446" spans="1:1" x14ac:dyDescent="0.25">
      <c r="A446" t="s">
        <v>459</v>
      </c>
    </row>
    <row r="447" spans="1:1" x14ac:dyDescent="0.25">
      <c r="A447" t="s">
        <v>460</v>
      </c>
    </row>
    <row r="448" spans="1:1" x14ac:dyDescent="0.25">
      <c r="A448" t="s">
        <v>461</v>
      </c>
    </row>
    <row r="449" spans="1:1" x14ac:dyDescent="0.25">
      <c r="A449" t="s">
        <v>462</v>
      </c>
    </row>
    <row r="450" spans="1:1" x14ac:dyDescent="0.25">
      <c r="A450" t="s">
        <v>463</v>
      </c>
    </row>
    <row r="451" spans="1:1" x14ac:dyDescent="0.25">
      <c r="A451" t="s">
        <v>464</v>
      </c>
    </row>
    <row r="452" spans="1:1" x14ac:dyDescent="0.25">
      <c r="A452" t="s">
        <v>465</v>
      </c>
    </row>
    <row r="453" spans="1:1" x14ac:dyDescent="0.25">
      <c r="A453" t="s">
        <v>466</v>
      </c>
    </row>
    <row r="454" spans="1:1" x14ac:dyDescent="0.25">
      <c r="A454" t="s">
        <v>467</v>
      </c>
    </row>
    <row r="455" spans="1:1" x14ac:dyDescent="0.25">
      <c r="A455" t="s">
        <v>468</v>
      </c>
    </row>
    <row r="456" spans="1:1" x14ac:dyDescent="0.25">
      <c r="A456" t="s">
        <v>469</v>
      </c>
    </row>
    <row r="457" spans="1:1" x14ac:dyDescent="0.25">
      <c r="A457" t="s">
        <v>470</v>
      </c>
    </row>
    <row r="458" spans="1:1" x14ac:dyDescent="0.25">
      <c r="A458" t="s">
        <v>471</v>
      </c>
    </row>
    <row r="459" spans="1:1" x14ac:dyDescent="0.25">
      <c r="A459" t="s">
        <v>472</v>
      </c>
    </row>
    <row r="460" spans="1:1" x14ac:dyDescent="0.25">
      <c r="A460" t="s">
        <v>473</v>
      </c>
    </row>
    <row r="461" spans="1:1" x14ac:dyDescent="0.25">
      <c r="A461" t="s">
        <v>474</v>
      </c>
    </row>
    <row r="462" spans="1:1" x14ac:dyDescent="0.25">
      <c r="A462" t="s">
        <v>475</v>
      </c>
    </row>
    <row r="463" spans="1:1" x14ac:dyDescent="0.25">
      <c r="A463" t="s">
        <v>476</v>
      </c>
    </row>
    <row r="464" spans="1:1" x14ac:dyDescent="0.25">
      <c r="A464" t="s">
        <v>477</v>
      </c>
    </row>
    <row r="465" spans="1:1" x14ac:dyDescent="0.25">
      <c r="A465" t="s">
        <v>478</v>
      </c>
    </row>
    <row r="466" spans="1:1" x14ac:dyDescent="0.25">
      <c r="A466" t="s">
        <v>479</v>
      </c>
    </row>
    <row r="467" spans="1:1" x14ac:dyDescent="0.25">
      <c r="A467" t="s">
        <v>480</v>
      </c>
    </row>
    <row r="468" spans="1:1" x14ac:dyDescent="0.25">
      <c r="A468" t="s">
        <v>481</v>
      </c>
    </row>
    <row r="469" spans="1:1" x14ac:dyDescent="0.25">
      <c r="A469" t="s">
        <v>482</v>
      </c>
    </row>
    <row r="470" spans="1:1" x14ac:dyDescent="0.25">
      <c r="A470" t="s">
        <v>483</v>
      </c>
    </row>
    <row r="471" spans="1:1" x14ac:dyDescent="0.25">
      <c r="A471" t="s">
        <v>484</v>
      </c>
    </row>
    <row r="472" spans="1:1" x14ac:dyDescent="0.25">
      <c r="A472" t="s">
        <v>485</v>
      </c>
    </row>
    <row r="473" spans="1:1" x14ac:dyDescent="0.25">
      <c r="A473" t="s">
        <v>486</v>
      </c>
    </row>
    <row r="474" spans="1:1" x14ac:dyDescent="0.25">
      <c r="A474" t="s">
        <v>487</v>
      </c>
    </row>
    <row r="475" spans="1:1" x14ac:dyDescent="0.25">
      <c r="A475" t="s">
        <v>488</v>
      </c>
    </row>
    <row r="476" spans="1:1" x14ac:dyDescent="0.25">
      <c r="A476" t="s">
        <v>489</v>
      </c>
    </row>
    <row r="477" spans="1:1" x14ac:dyDescent="0.25">
      <c r="A477" t="s">
        <v>490</v>
      </c>
    </row>
    <row r="478" spans="1:1" x14ac:dyDescent="0.25">
      <c r="A478" t="s">
        <v>491</v>
      </c>
    </row>
    <row r="479" spans="1:1" x14ac:dyDescent="0.25">
      <c r="A479" t="s">
        <v>492</v>
      </c>
    </row>
    <row r="480" spans="1:1" x14ac:dyDescent="0.25">
      <c r="A480" t="s">
        <v>493</v>
      </c>
    </row>
    <row r="481" spans="1:1" x14ac:dyDescent="0.25">
      <c r="A481" t="s">
        <v>494</v>
      </c>
    </row>
    <row r="482" spans="1:1" x14ac:dyDescent="0.25">
      <c r="A482" t="s">
        <v>495</v>
      </c>
    </row>
    <row r="483" spans="1:1" x14ac:dyDescent="0.25">
      <c r="A483" t="s">
        <v>496</v>
      </c>
    </row>
    <row r="484" spans="1:1" x14ac:dyDescent="0.25">
      <c r="A484" t="s">
        <v>497</v>
      </c>
    </row>
    <row r="485" spans="1:1" x14ac:dyDescent="0.25">
      <c r="A485" t="s">
        <v>498</v>
      </c>
    </row>
    <row r="486" spans="1:1" x14ac:dyDescent="0.25">
      <c r="A486" t="s">
        <v>499</v>
      </c>
    </row>
    <row r="487" spans="1:1" x14ac:dyDescent="0.25">
      <c r="A487" t="s">
        <v>500</v>
      </c>
    </row>
    <row r="488" spans="1:1" x14ac:dyDescent="0.25">
      <c r="A488" t="s">
        <v>501</v>
      </c>
    </row>
    <row r="489" spans="1:1" x14ac:dyDescent="0.25">
      <c r="A489" t="s">
        <v>502</v>
      </c>
    </row>
    <row r="490" spans="1:1" x14ac:dyDescent="0.25">
      <c r="A490" t="s">
        <v>503</v>
      </c>
    </row>
    <row r="491" spans="1:1" x14ac:dyDescent="0.25">
      <c r="A491" t="s">
        <v>504</v>
      </c>
    </row>
    <row r="492" spans="1:1" x14ac:dyDescent="0.25">
      <c r="A492" t="s">
        <v>505</v>
      </c>
    </row>
    <row r="493" spans="1:1" x14ac:dyDescent="0.25">
      <c r="A493" t="s">
        <v>506</v>
      </c>
    </row>
    <row r="494" spans="1:1" x14ac:dyDescent="0.25">
      <c r="A494" t="s">
        <v>507</v>
      </c>
    </row>
    <row r="495" spans="1:1" x14ac:dyDescent="0.25">
      <c r="A495" t="s">
        <v>508</v>
      </c>
    </row>
    <row r="496" spans="1:1" x14ac:dyDescent="0.25">
      <c r="A496" t="s">
        <v>509</v>
      </c>
    </row>
    <row r="497" spans="1:1" x14ac:dyDescent="0.25">
      <c r="A497" t="s">
        <v>510</v>
      </c>
    </row>
    <row r="498" spans="1:1" x14ac:dyDescent="0.25">
      <c r="A498" t="s">
        <v>511</v>
      </c>
    </row>
    <row r="499" spans="1:1" x14ac:dyDescent="0.25">
      <c r="A499" t="s">
        <v>512</v>
      </c>
    </row>
    <row r="500" spans="1:1" x14ac:dyDescent="0.25">
      <c r="A500" t="s">
        <v>513</v>
      </c>
    </row>
    <row r="501" spans="1:1" x14ac:dyDescent="0.25">
      <c r="A501" t="s">
        <v>514</v>
      </c>
    </row>
    <row r="502" spans="1:1" x14ac:dyDescent="0.25">
      <c r="A502" t="s">
        <v>515</v>
      </c>
    </row>
    <row r="503" spans="1:1" x14ac:dyDescent="0.25">
      <c r="A503" t="s">
        <v>516</v>
      </c>
    </row>
    <row r="504" spans="1:1" x14ac:dyDescent="0.25">
      <c r="A504" t="s">
        <v>517</v>
      </c>
    </row>
    <row r="505" spans="1:1" x14ac:dyDescent="0.25">
      <c r="A505" t="s">
        <v>518</v>
      </c>
    </row>
    <row r="506" spans="1:1" x14ac:dyDescent="0.25">
      <c r="A506" t="s">
        <v>519</v>
      </c>
    </row>
    <row r="507" spans="1:1" x14ac:dyDescent="0.25">
      <c r="A507" t="s">
        <v>520</v>
      </c>
    </row>
    <row r="508" spans="1:1" x14ac:dyDescent="0.25">
      <c r="A508" t="s">
        <v>521</v>
      </c>
    </row>
    <row r="509" spans="1:1" x14ac:dyDescent="0.25">
      <c r="A509" t="s">
        <v>522</v>
      </c>
    </row>
    <row r="510" spans="1:1" x14ac:dyDescent="0.25">
      <c r="A510" t="s">
        <v>523</v>
      </c>
    </row>
    <row r="511" spans="1:1" x14ac:dyDescent="0.25">
      <c r="A511" t="s">
        <v>524</v>
      </c>
    </row>
    <row r="512" spans="1:1" x14ac:dyDescent="0.25">
      <c r="A512" t="s">
        <v>525</v>
      </c>
    </row>
    <row r="513" spans="1:1" x14ac:dyDescent="0.25">
      <c r="A513" t="s">
        <v>526</v>
      </c>
    </row>
    <row r="514" spans="1:1" x14ac:dyDescent="0.25">
      <c r="A514" t="s">
        <v>527</v>
      </c>
    </row>
    <row r="515" spans="1:1" x14ac:dyDescent="0.25">
      <c r="A515" t="s">
        <v>528</v>
      </c>
    </row>
    <row r="516" spans="1:1" x14ac:dyDescent="0.25">
      <c r="A516" t="s">
        <v>529</v>
      </c>
    </row>
    <row r="517" spans="1:1" x14ac:dyDescent="0.25">
      <c r="A517" t="s">
        <v>530</v>
      </c>
    </row>
    <row r="518" spans="1:1" x14ac:dyDescent="0.25">
      <c r="A518" t="s">
        <v>531</v>
      </c>
    </row>
    <row r="519" spans="1:1" x14ac:dyDescent="0.25">
      <c r="A519" t="s">
        <v>532</v>
      </c>
    </row>
    <row r="520" spans="1:1" x14ac:dyDescent="0.25">
      <c r="A520" t="s">
        <v>533</v>
      </c>
    </row>
    <row r="521" spans="1:1" x14ac:dyDescent="0.25">
      <c r="A521" t="s">
        <v>534</v>
      </c>
    </row>
    <row r="522" spans="1:1" x14ac:dyDescent="0.25">
      <c r="A522" t="s">
        <v>535</v>
      </c>
    </row>
    <row r="523" spans="1:1" x14ac:dyDescent="0.25">
      <c r="A523" t="s">
        <v>536</v>
      </c>
    </row>
    <row r="524" spans="1:1" x14ac:dyDescent="0.25">
      <c r="A524" t="s">
        <v>537</v>
      </c>
    </row>
    <row r="525" spans="1:1" x14ac:dyDescent="0.25">
      <c r="A525" t="s">
        <v>538</v>
      </c>
    </row>
    <row r="526" spans="1:1" x14ac:dyDescent="0.25">
      <c r="A526" t="s">
        <v>539</v>
      </c>
    </row>
    <row r="527" spans="1:1" x14ac:dyDescent="0.25">
      <c r="A527" t="s">
        <v>540</v>
      </c>
    </row>
    <row r="528" spans="1:1" x14ac:dyDescent="0.25">
      <c r="A528" t="s">
        <v>541</v>
      </c>
    </row>
    <row r="529" spans="1:1" x14ac:dyDescent="0.25">
      <c r="A529" t="s">
        <v>542</v>
      </c>
    </row>
    <row r="530" spans="1:1" x14ac:dyDescent="0.25">
      <c r="A530" t="s">
        <v>543</v>
      </c>
    </row>
    <row r="531" spans="1:1" x14ac:dyDescent="0.25">
      <c r="A531" t="s">
        <v>544</v>
      </c>
    </row>
    <row r="532" spans="1:1" x14ac:dyDescent="0.25">
      <c r="A532" t="s">
        <v>545</v>
      </c>
    </row>
    <row r="533" spans="1:1" x14ac:dyDescent="0.25">
      <c r="A533" t="s">
        <v>546</v>
      </c>
    </row>
    <row r="534" spans="1:1" x14ac:dyDescent="0.25">
      <c r="A534" t="s">
        <v>547</v>
      </c>
    </row>
    <row r="535" spans="1:1" x14ac:dyDescent="0.25">
      <c r="A535" t="s">
        <v>548</v>
      </c>
    </row>
    <row r="536" spans="1:1" x14ac:dyDescent="0.25">
      <c r="A536" t="s">
        <v>549</v>
      </c>
    </row>
    <row r="537" spans="1:1" x14ac:dyDescent="0.25">
      <c r="A537" t="s">
        <v>550</v>
      </c>
    </row>
    <row r="538" spans="1:1" x14ac:dyDescent="0.25">
      <c r="A538" t="s">
        <v>551</v>
      </c>
    </row>
    <row r="539" spans="1:1" x14ac:dyDescent="0.25">
      <c r="A539" t="s">
        <v>552</v>
      </c>
    </row>
    <row r="540" spans="1:1" x14ac:dyDescent="0.25">
      <c r="A540" t="s">
        <v>553</v>
      </c>
    </row>
    <row r="541" spans="1:1" x14ac:dyDescent="0.25">
      <c r="A541" t="s">
        <v>554</v>
      </c>
    </row>
    <row r="542" spans="1:1" x14ac:dyDescent="0.25">
      <c r="A542" t="s">
        <v>555</v>
      </c>
    </row>
    <row r="543" spans="1:1" x14ac:dyDescent="0.25">
      <c r="A543" t="s">
        <v>556</v>
      </c>
    </row>
    <row r="544" spans="1:1" x14ac:dyDescent="0.25">
      <c r="A544" t="s">
        <v>557</v>
      </c>
    </row>
    <row r="545" spans="1:1" x14ac:dyDescent="0.25">
      <c r="A545" t="s">
        <v>558</v>
      </c>
    </row>
    <row r="546" spans="1:1" x14ac:dyDescent="0.25">
      <c r="A546" t="s">
        <v>559</v>
      </c>
    </row>
    <row r="547" spans="1:1" x14ac:dyDescent="0.25">
      <c r="A547" t="s">
        <v>560</v>
      </c>
    </row>
    <row r="548" spans="1:1" x14ac:dyDescent="0.25">
      <c r="A548" t="s">
        <v>561</v>
      </c>
    </row>
    <row r="549" spans="1:1" x14ac:dyDescent="0.25">
      <c r="A549" t="s">
        <v>562</v>
      </c>
    </row>
    <row r="550" spans="1:1" x14ac:dyDescent="0.25">
      <c r="A550" t="s">
        <v>563</v>
      </c>
    </row>
    <row r="551" spans="1:1" x14ac:dyDescent="0.25">
      <c r="A551" t="s">
        <v>564</v>
      </c>
    </row>
    <row r="552" spans="1:1" x14ac:dyDescent="0.25">
      <c r="A552" t="s">
        <v>565</v>
      </c>
    </row>
    <row r="553" spans="1:1" x14ac:dyDescent="0.25">
      <c r="A553" t="s">
        <v>566</v>
      </c>
    </row>
    <row r="554" spans="1:1" x14ac:dyDescent="0.25">
      <c r="A554" t="s">
        <v>567</v>
      </c>
    </row>
    <row r="555" spans="1:1" x14ac:dyDescent="0.25">
      <c r="A555" t="s">
        <v>568</v>
      </c>
    </row>
    <row r="556" spans="1:1" x14ac:dyDescent="0.25">
      <c r="A556" t="s">
        <v>569</v>
      </c>
    </row>
    <row r="557" spans="1:1" x14ac:dyDescent="0.25">
      <c r="A557" t="s">
        <v>570</v>
      </c>
    </row>
    <row r="558" spans="1:1" x14ac:dyDescent="0.25">
      <c r="A558" t="s">
        <v>571</v>
      </c>
    </row>
    <row r="559" spans="1:1" x14ac:dyDescent="0.25">
      <c r="A559" t="s">
        <v>572</v>
      </c>
    </row>
    <row r="560" spans="1:1" x14ac:dyDescent="0.25">
      <c r="A560" t="s">
        <v>573</v>
      </c>
    </row>
    <row r="561" spans="1:1" x14ac:dyDescent="0.25">
      <c r="A561" t="s">
        <v>574</v>
      </c>
    </row>
    <row r="562" spans="1:1" x14ac:dyDescent="0.25">
      <c r="A562" t="s">
        <v>575</v>
      </c>
    </row>
    <row r="563" spans="1:1" x14ac:dyDescent="0.25">
      <c r="A563" t="s">
        <v>576</v>
      </c>
    </row>
    <row r="564" spans="1:1" x14ac:dyDescent="0.25">
      <c r="A564" t="s">
        <v>577</v>
      </c>
    </row>
    <row r="565" spans="1:1" x14ac:dyDescent="0.25">
      <c r="A565" t="s">
        <v>578</v>
      </c>
    </row>
    <row r="566" spans="1:1" x14ac:dyDescent="0.25">
      <c r="A566" t="s">
        <v>579</v>
      </c>
    </row>
    <row r="567" spans="1:1" x14ac:dyDescent="0.25">
      <c r="A567" t="s">
        <v>580</v>
      </c>
    </row>
    <row r="568" spans="1:1" x14ac:dyDescent="0.25">
      <c r="A568" t="s">
        <v>581</v>
      </c>
    </row>
    <row r="569" spans="1:1" x14ac:dyDescent="0.25">
      <c r="A569" t="s">
        <v>582</v>
      </c>
    </row>
    <row r="570" spans="1:1" x14ac:dyDescent="0.25">
      <c r="A570" t="s">
        <v>583</v>
      </c>
    </row>
    <row r="571" spans="1:1" x14ac:dyDescent="0.25">
      <c r="A571" t="s">
        <v>584</v>
      </c>
    </row>
    <row r="572" spans="1:1" x14ac:dyDescent="0.25">
      <c r="A572" t="s">
        <v>585</v>
      </c>
    </row>
    <row r="573" spans="1:1" x14ac:dyDescent="0.25">
      <c r="A573" t="s">
        <v>586</v>
      </c>
    </row>
    <row r="574" spans="1:1" x14ac:dyDescent="0.25">
      <c r="A574" t="s">
        <v>587</v>
      </c>
    </row>
    <row r="575" spans="1:1" x14ac:dyDescent="0.25">
      <c r="A575" t="s">
        <v>588</v>
      </c>
    </row>
    <row r="576" spans="1:1" x14ac:dyDescent="0.25">
      <c r="A576" t="s">
        <v>589</v>
      </c>
    </row>
    <row r="577" spans="1:1" x14ac:dyDescent="0.25">
      <c r="A577" t="s">
        <v>590</v>
      </c>
    </row>
    <row r="578" spans="1:1" x14ac:dyDescent="0.25">
      <c r="A578" t="s">
        <v>591</v>
      </c>
    </row>
    <row r="579" spans="1:1" x14ac:dyDescent="0.25">
      <c r="A579" t="s">
        <v>592</v>
      </c>
    </row>
    <row r="580" spans="1:1" x14ac:dyDescent="0.25">
      <c r="A580" t="s">
        <v>593</v>
      </c>
    </row>
    <row r="581" spans="1:1" x14ac:dyDescent="0.25">
      <c r="A581" t="s">
        <v>594</v>
      </c>
    </row>
    <row r="582" spans="1:1" x14ac:dyDescent="0.25">
      <c r="A582" t="s">
        <v>595</v>
      </c>
    </row>
    <row r="583" spans="1:1" x14ac:dyDescent="0.25">
      <c r="A583" t="s">
        <v>596</v>
      </c>
    </row>
    <row r="584" spans="1:1" x14ac:dyDescent="0.25">
      <c r="A584" t="s">
        <v>597</v>
      </c>
    </row>
    <row r="585" spans="1:1" x14ac:dyDescent="0.25">
      <c r="A585" t="s">
        <v>598</v>
      </c>
    </row>
    <row r="586" spans="1:1" x14ac:dyDescent="0.25">
      <c r="A586" t="s">
        <v>599</v>
      </c>
    </row>
    <row r="587" spans="1:1" x14ac:dyDescent="0.25">
      <c r="A587" t="s">
        <v>600</v>
      </c>
    </row>
    <row r="588" spans="1:1" x14ac:dyDescent="0.25">
      <c r="A588" t="s">
        <v>601</v>
      </c>
    </row>
    <row r="589" spans="1:1" x14ac:dyDescent="0.25">
      <c r="A589" t="s">
        <v>602</v>
      </c>
    </row>
    <row r="590" spans="1:1" x14ac:dyDescent="0.25">
      <c r="A590" t="s">
        <v>603</v>
      </c>
    </row>
    <row r="591" spans="1:1" x14ac:dyDescent="0.25">
      <c r="A591" t="s">
        <v>604</v>
      </c>
    </row>
    <row r="592" spans="1:1" x14ac:dyDescent="0.25">
      <c r="A592" t="s">
        <v>605</v>
      </c>
    </row>
    <row r="593" spans="1:2" x14ac:dyDescent="0.25">
      <c r="A593" t="s">
        <v>606</v>
      </c>
    </row>
    <row r="594" spans="1:2" x14ac:dyDescent="0.25">
      <c r="A594" t="s">
        <v>607</v>
      </c>
    </row>
    <row r="595" spans="1:2" x14ac:dyDescent="0.25">
      <c r="A595" t="s">
        <v>608</v>
      </c>
    </row>
    <row r="596" spans="1:2" x14ac:dyDescent="0.25">
      <c r="A596" t="s">
        <v>609</v>
      </c>
    </row>
    <row r="597" spans="1:2" x14ac:dyDescent="0.25">
      <c r="A597" t="s">
        <v>610</v>
      </c>
    </row>
    <row r="598" spans="1:2" x14ac:dyDescent="0.25">
      <c r="A598" t="s">
        <v>611</v>
      </c>
    </row>
    <row r="599" spans="1:2" x14ac:dyDescent="0.25">
      <c r="A599" t="s">
        <v>612</v>
      </c>
    </row>
    <row r="600" spans="1:2" x14ac:dyDescent="0.25">
      <c r="A600" t="s">
        <v>613</v>
      </c>
    </row>
    <row r="601" spans="1:2" x14ac:dyDescent="0.25">
      <c r="A601" t="s">
        <v>614</v>
      </c>
    </row>
    <row r="602" spans="1:2" x14ac:dyDescent="0.25">
      <c r="A602" t="s">
        <v>615</v>
      </c>
    </row>
    <row r="603" spans="1:2" x14ac:dyDescent="0.25">
      <c r="A603" t="s">
        <v>616</v>
      </c>
      <c r="B603" t="s">
        <v>617</v>
      </c>
    </row>
    <row r="604" spans="1:2" x14ac:dyDescent="0.25">
      <c r="A604" t="s">
        <v>618</v>
      </c>
      <c r="B604" t="s">
        <v>617</v>
      </c>
    </row>
    <row r="605" spans="1:2" x14ac:dyDescent="0.25">
      <c r="A605" t="s">
        <v>619</v>
      </c>
      <c r="B605" t="s">
        <v>620</v>
      </c>
    </row>
    <row r="606" spans="1:2" x14ac:dyDescent="0.25">
      <c r="A606" t="s">
        <v>621</v>
      </c>
    </row>
    <row r="607" spans="1:2" x14ac:dyDescent="0.25">
      <c r="A607" t="s">
        <v>622</v>
      </c>
    </row>
    <row r="608" spans="1:2" x14ac:dyDescent="0.25">
      <c r="A608" t="s">
        <v>623</v>
      </c>
    </row>
    <row r="609" spans="1:2" x14ac:dyDescent="0.25">
      <c r="A609" t="s">
        <v>624</v>
      </c>
    </row>
    <row r="610" spans="1:2" x14ac:dyDescent="0.25">
      <c r="A610" t="s">
        <v>625</v>
      </c>
      <c r="B610" t="s">
        <v>626</v>
      </c>
    </row>
    <row r="611" spans="1:2" x14ac:dyDescent="0.25">
      <c r="A611" t="s">
        <v>627</v>
      </c>
    </row>
    <row r="612" spans="1:2" x14ac:dyDescent="0.25">
      <c r="A612" t="s">
        <v>628</v>
      </c>
    </row>
    <row r="613" spans="1:2" x14ac:dyDescent="0.25">
      <c r="A613" t="s">
        <v>629</v>
      </c>
    </row>
    <row r="614" spans="1:2" x14ac:dyDescent="0.25">
      <c r="A614" t="s">
        <v>630</v>
      </c>
    </row>
    <row r="615" spans="1:2" x14ac:dyDescent="0.25">
      <c r="A615" t="s">
        <v>631</v>
      </c>
    </row>
    <row r="616" spans="1:2" x14ac:dyDescent="0.25">
      <c r="A616" t="s">
        <v>632</v>
      </c>
    </row>
    <row r="617" spans="1:2" x14ac:dyDescent="0.25">
      <c r="A617" t="s">
        <v>633</v>
      </c>
    </row>
    <row r="618" spans="1:2" x14ac:dyDescent="0.25">
      <c r="A618" t="s">
        <v>634</v>
      </c>
    </row>
    <row r="619" spans="1:2" x14ac:dyDescent="0.25">
      <c r="A619" t="s">
        <v>635</v>
      </c>
    </row>
    <row r="620" spans="1:2" x14ac:dyDescent="0.25">
      <c r="A620" t="s">
        <v>636</v>
      </c>
    </row>
    <row r="621" spans="1:2" x14ac:dyDescent="0.25">
      <c r="A621" t="s">
        <v>637</v>
      </c>
    </row>
    <row r="622" spans="1:2" x14ac:dyDescent="0.25">
      <c r="A622" t="s">
        <v>638</v>
      </c>
    </row>
    <row r="623" spans="1:2" x14ac:dyDescent="0.25">
      <c r="A623" t="s">
        <v>639</v>
      </c>
    </row>
    <row r="624" spans="1:2" x14ac:dyDescent="0.25">
      <c r="A624" t="s">
        <v>640</v>
      </c>
    </row>
    <row r="625" spans="1:1" x14ac:dyDescent="0.25">
      <c r="A625" t="s">
        <v>641</v>
      </c>
    </row>
    <row r="626" spans="1:1" x14ac:dyDescent="0.25">
      <c r="A626" t="s">
        <v>642</v>
      </c>
    </row>
    <row r="627" spans="1:1" x14ac:dyDescent="0.25">
      <c r="A627" t="s">
        <v>643</v>
      </c>
    </row>
    <row r="628" spans="1:1" x14ac:dyDescent="0.25">
      <c r="A628" t="s">
        <v>644</v>
      </c>
    </row>
    <row r="629" spans="1:1" x14ac:dyDescent="0.25">
      <c r="A629" t="s">
        <v>645</v>
      </c>
    </row>
    <row r="630" spans="1:1" x14ac:dyDescent="0.25">
      <c r="A630" t="s">
        <v>646</v>
      </c>
    </row>
    <row r="631" spans="1:1" x14ac:dyDescent="0.25">
      <c r="A631" t="s">
        <v>647</v>
      </c>
    </row>
    <row r="632" spans="1:1" x14ac:dyDescent="0.25">
      <c r="A632" t="s">
        <v>648</v>
      </c>
    </row>
    <row r="633" spans="1:1" x14ac:dyDescent="0.25">
      <c r="A633" t="s">
        <v>649</v>
      </c>
    </row>
    <row r="634" spans="1:1" x14ac:dyDescent="0.25">
      <c r="A634" t="s">
        <v>650</v>
      </c>
    </row>
    <row r="635" spans="1:1" x14ac:dyDescent="0.25">
      <c r="A635" t="s">
        <v>651</v>
      </c>
    </row>
    <row r="636" spans="1:1" x14ac:dyDescent="0.25">
      <c r="A636" t="s">
        <v>652</v>
      </c>
    </row>
    <row r="637" spans="1:1" x14ac:dyDescent="0.25">
      <c r="A637" t="s">
        <v>653</v>
      </c>
    </row>
    <row r="638" spans="1:1" x14ac:dyDescent="0.25">
      <c r="A638" t="s">
        <v>654</v>
      </c>
    </row>
    <row r="639" spans="1:1" x14ac:dyDescent="0.25">
      <c r="A639" t="s">
        <v>655</v>
      </c>
    </row>
    <row r="640" spans="1:1" x14ac:dyDescent="0.25">
      <c r="A640" t="s">
        <v>656</v>
      </c>
    </row>
    <row r="641" spans="1:1" x14ac:dyDescent="0.25">
      <c r="A641" t="s">
        <v>657</v>
      </c>
    </row>
    <row r="642" spans="1:1" x14ac:dyDescent="0.25">
      <c r="A642" t="s">
        <v>658</v>
      </c>
    </row>
    <row r="643" spans="1:1" x14ac:dyDescent="0.25">
      <c r="A643" t="s">
        <v>659</v>
      </c>
    </row>
    <row r="644" spans="1:1" x14ac:dyDescent="0.25">
      <c r="A644" t="s">
        <v>660</v>
      </c>
    </row>
    <row r="645" spans="1:1" x14ac:dyDescent="0.25">
      <c r="A645" t="s">
        <v>661</v>
      </c>
    </row>
    <row r="646" spans="1:1" x14ac:dyDescent="0.25">
      <c r="A646" t="s">
        <v>662</v>
      </c>
    </row>
    <row r="647" spans="1:1" x14ac:dyDescent="0.25">
      <c r="A647" t="s">
        <v>663</v>
      </c>
    </row>
    <row r="648" spans="1:1" x14ac:dyDescent="0.25">
      <c r="A648" t="s">
        <v>664</v>
      </c>
    </row>
    <row r="649" spans="1:1" x14ac:dyDescent="0.25">
      <c r="A649" t="s">
        <v>665</v>
      </c>
    </row>
    <row r="650" spans="1:1" x14ac:dyDescent="0.25">
      <c r="A650" t="s">
        <v>666</v>
      </c>
    </row>
    <row r="651" spans="1:1" x14ac:dyDescent="0.25">
      <c r="A651" t="s">
        <v>667</v>
      </c>
    </row>
    <row r="652" spans="1:1" x14ac:dyDescent="0.25">
      <c r="A652" t="s">
        <v>668</v>
      </c>
    </row>
    <row r="653" spans="1:1" x14ac:dyDescent="0.25">
      <c r="A653" t="s">
        <v>669</v>
      </c>
    </row>
    <row r="654" spans="1:1" x14ac:dyDescent="0.25">
      <c r="A654" t="s">
        <v>670</v>
      </c>
    </row>
    <row r="655" spans="1:1" x14ac:dyDescent="0.25">
      <c r="A655" t="s">
        <v>671</v>
      </c>
    </row>
    <row r="656" spans="1:1" x14ac:dyDescent="0.25">
      <c r="A656" t="s">
        <v>672</v>
      </c>
    </row>
    <row r="657" spans="1:1" x14ac:dyDescent="0.25">
      <c r="A657" t="s">
        <v>673</v>
      </c>
    </row>
    <row r="658" spans="1:1" x14ac:dyDescent="0.25">
      <c r="A658" t="s">
        <v>674</v>
      </c>
    </row>
    <row r="659" spans="1:1" x14ac:dyDescent="0.25">
      <c r="A659" t="s">
        <v>675</v>
      </c>
    </row>
    <row r="660" spans="1:1" x14ac:dyDescent="0.25">
      <c r="A660" t="s">
        <v>676</v>
      </c>
    </row>
    <row r="661" spans="1:1" x14ac:dyDescent="0.25">
      <c r="A661" t="s">
        <v>677</v>
      </c>
    </row>
    <row r="662" spans="1:1" x14ac:dyDescent="0.25">
      <c r="A662" t="s">
        <v>678</v>
      </c>
    </row>
    <row r="663" spans="1:1" x14ac:dyDescent="0.25">
      <c r="A663" t="s">
        <v>679</v>
      </c>
    </row>
    <row r="664" spans="1:1" x14ac:dyDescent="0.25">
      <c r="A664" t="s">
        <v>680</v>
      </c>
    </row>
    <row r="665" spans="1:1" x14ac:dyDescent="0.25">
      <c r="A665" t="s">
        <v>681</v>
      </c>
    </row>
    <row r="666" spans="1:1" x14ac:dyDescent="0.25">
      <c r="A666" t="s">
        <v>682</v>
      </c>
    </row>
    <row r="667" spans="1:1" x14ac:dyDescent="0.25">
      <c r="A667" t="s">
        <v>683</v>
      </c>
    </row>
    <row r="668" spans="1:1" x14ac:dyDescent="0.25">
      <c r="A668" t="s">
        <v>684</v>
      </c>
    </row>
    <row r="669" spans="1:1" x14ac:dyDescent="0.25">
      <c r="A669" t="s">
        <v>685</v>
      </c>
    </row>
    <row r="670" spans="1:1" x14ac:dyDescent="0.25">
      <c r="A670" t="s">
        <v>686</v>
      </c>
    </row>
    <row r="671" spans="1:1" x14ac:dyDescent="0.25">
      <c r="A671" t="s">
        <v>687</v>
      </c>
    </row>
    <row r="672" spans="1:1" x14ac:dyDescent="0.25">
      <c r="A672" t="s">
        <v>688</v>
      </c>
    </row>
    <row r="673" spans="1:1" x14ac:dyDescent="0.25">
      <c r="A673" t="s">
        <v>689</v>
      </c>
    </row>
    <row r="674" spans="1:1" x14ac:dyDescent="0.25">
      <c r="A674" t="s">
        <v>690</v>
      </c>
    </row>
    <row r="675" spans="1:1" x14ac:dyDescent="0.25">
      <c r="A675" t="s">
        <v>691</v>
      </c>
    </row>
    <row r="676" spans="1:1" x14ac:dyDescent="0.25">
      <c r="A676" t="s">
        <v>692</v>
      </c>
    </row>
    <row r="677" spans="1:1" x14ac:dyDescent="0.25">
      <c r="A677" t="s">
        <v>693</v>
      </c>
    </row>
    <row r="678" spans="1:1" x14ac:dyDescent="0.25">
      <c r="A678" t="s">
        <v>694</v>
      </c>
    </row>
    <row r="679" spans="1:1" x14ac:dyDescent="0.25">
      <c r="A679" t="s">
        <v>695</v>
      </c>
    </row>
    <row r="680" spans="1:1" x14ac:dyDescent="0.25">
      <c r="A680" t="s">
        <v>696</v>
      </c>
    </row>
    <row r="681" spans="1:1" x14ac:dyDescent="0.25">
      <c r="A681" t="s">
        <v>697</v>
      </c>
    </row>
    <row r="682" spans="1:1" x14ac:dyDescent="0.25">
      <c r="A682" t="s">
        <v>698</v>
      </c>
    </row>
    <row r="683" spans="1:1" x14ac:dyDescent="0.25">
      <c r="A683" t="s">
        <v>699</v>
      </c>
    </row>
    <row r="684" spans="1:1" x14ac:dyDescent="0.25">
      <c r="A684" t="s">
        <v>700</v>
      </c>
    </row>
    <row r="685" spans="1:1" x14ac:dyDescent="0.25">
      <c r="A685" t="s">
        <v>701</v>
      </c>
    </row>
    <row r="686" spans="1:1" x14ac:dyDescent="0.25">
      <c r="A686" t="s">
        <v>702</v>
      </c>
    </row>
    <row r="687" spans="1:1" x14ac:dyDescent="0.25">
      <c r="A687" t="s">
        <v>703</v>
      </c>
    </row>
    <row r="688" spans="1:1" x14ac:dyDescent="0.25">
      <c r="A688" t="s">
        <v>704</v>
      </c>
    </row>
    <row r="689" spans="1:2" x14ac:dyDescent="0.25">
      <c r="A689" t="s">
        <v>705</v>
      </c>
    </row>
    <row r="690" spans="1:2" x14ac:dyDescent="0.25">
      <c r="A690" t="s">
        <v>706</v>
      </c>
      <c r="B690" t="s">
        <v>707</v>
      </c>
    </row>
    <row r="691" spans="1:2" x14ac:dyDescent="0.25">
      <c r="A691" t="s">
        <v>708</v>
      </c>
      <c r="B691" t="s">
        <v>707</v>
      </c>
    </row>
    <row r="692" spans="1:2" x14ac:dyDescent="0.25">
      <c r="A692" t="s">
        <v>709</v>
      </c>
    </row>
    <row r="693" spans="1:2" x14ac:dyDescent="0.25">
      <c r="A693" t="s">
        <v>710</v>
      </c>
    </row>
    <row r="694" spans="1:2" x14ac:dyDescent="0.25">
      <c r="A694" t="s">
        <v>711</v>
      </c>
    </row>
    <row r="695" spans="1:2" x14ac:dyDescent="0.25">
      <c r="A695" t="s">
        <v>712</v>
      </c>
    </row>
    <row r="696" spans="1:2" x14ac:dyDescent="0.25">
      <c r="A696" t="s">
        <v>713</v>
      </c>
    </row>
    <row r="697" spans="1:2" x14ac:dyDescent="0.25">
      <c r="A697" t="s">
        <v>714</v>
      </c>
    </row>
    <row r="698" spans="1:2" x14ac:dyDescent="0.25">
      <c r="A698" t="s">
        <v>715</v>
      </c>
    </row>
    <row r="699" spans="1:2" x14ac:dyDescent="0.25">
      <c r="A699" t="s">
        <v>716</v>
      </c>
    </row>
    <row r="700" spans="1:2" x14ac:dyDescent="0.25">
      <c r="A700" t="s">
        <v>717</v>
      </c>
    </row>
    <row r="701" spans="1:2" x14ac:dyDescent="0.25">
      <c r="A701" t="s">
        <v>718</v>
      </c>
    </row>
    <row r="702" spans="1:2" x14ac:dyDescent="0.25">
      <c r="A702" t="s">
        <v>719</v>
      </c>
    </row>
    <row r="703" spans="1:2" x14ac:dyDescent="0.25">
      <c r="A703" t="s">
        <v>720</v>
      </c>
    </row>
    <row r="704" spans="1:2" x14ac:dyDescent="0.25">
      <c r="A704" t="s">
        <v>721</v>
      </c>
    </row>
    <row r="705" spans="1:1" x14ac:dyDescent="0.25">
      <c r="A705" t="s">
        <v>722</v>
      </c>
    </row>
    <row r="706" spans="1:1" x14ac:dyDescent="0.25">
      <c r="A706" t="s">
        <v>723</v>
      </c>
    </row>
    <row r="707" spans="1:1" x14ac:dyDescent="0.25">
      <c r="A707" t="s">
        <v>724</v>
      </c>
    </row>
    <row r="708" spans="1:1" x14ac:dyDescent="0.25">
      <c r="A708" t="s">
        <v>725</v>
      </c>
    </row>
    <row r="709" spans="1:1" x14ac:dyDescent="0.25">
      <c r="A709" t="s">
        <v>726</v>
      </c>
    </row>
    <row r="710" spans="1:1" x14ac:dyDescent="0.25">
      <c r="A710" t="s">
        <v>727</v>
      </c>
    </row>
    <row r="711" spans="1:1" x14ac:dyDescent="0.25">
      <c r="A711" t="s">
        <v>728</v>
      </c>
    </row>
    <row r="712" spans="1:1" x14ac:dyDescent="0.25">
      <c r="A712" t="s">
        <v>729</v>
      </c>
    </row>
    <row r="713" spans="1:1" x14ac:dyDescent="0.25">
      <c r="A713" t="s">
        <v>730</v>
      </c>
    </row>
    <row r="714" spans="1:1" x14ac:dyDescent="0.25">
      <c r="A714" t="s">
        <v>731</v>
      </c>
    </row>
    <row r="715" spans="1:1" x14ac:dyDescent="0.25">
      <c r="A715" t="s">
        <v>732</v>
      </c>
    </row>
    <row r="716" spans="1:1" x14ac:dyDescent="0.25">
      <c r="A716" t="s">
        <v>733</v>
      </c>
    </row>
    <row r="717" spans="1:1" x14ac:dyDescent="0.25">
      <c r="A717" t="s">
        <v>734</v>
      </c>
    </row>
    <row r="718" spans="1:1" x14ac:dyDescent="0.25">
      <c r="A718" t="s">
        <v>735</v>
      </c>
    </row>
    <row r="719" spans="1:1" x14ac:dyDescent="0.25">
      <c r="A719" t="s">
        <v>736</v>
      </c>
    </row>
    <row r="720" spans="1:1" x14ac:dyDescent="0.25">
      <c r="A720" t="s">
        <v>737</v>
      </c>
    </row>
    <row r="721" spans="1:1" x14ac:dyDescent="0.25">
      <c r="A721" t="s">
        <v>738</v>
      </c>
    </row>
    <row r="722" spans="1:1" x14ac:dyDescent="0.25">
      <c r="A722" t="s">
        <v>739</v>
      </c>
    </row>
    <row r="723" spans="1:1" x14ac:dyDescent="0.25">
      <c r="A723" t="s">
        <v>740</v>
      </c>
    </row>
    <row r="724" spans="1:1" x14ac:dyDescent="0.25">
      <c r="A724" t="s">
        <v>741</v>
      </c>
    </row>
    <row r="725" spans="1:1" x14ac:dyDescent="0.25">
      <c r="A725" t="s">
        <v>742</v>
      </c>
    </row>
    <row r="726" spans="1:1" x14ac:dyDescent="0.25">
      <c r="A726" t="s">
        <v>743</v>
      </c>
    </row>
    <row r="727" spans="1:1" x14ac:dyDescent="0.25">
      <c r="A727" t="s">
        <v>744</v>
      </c>
    </row>
    <row r="728" spans="1:1" x14ac:dyDescent="0.25">
      <c r="A728" t="s">
        <v>745</v>
      </c>
    </row>
    <row r="729" spans="1:1" x14ac:dyDescent="0.25">
      <c r="A729" t="s">
        <v>746</v>
      </c>
    </row>
    <row r="730" spans="1:1" x14ac:dyDescent="0.25">
      <c r="A730" t="s">
        <v>747</v>
      </c>
    </row>
    <row r="731" spans="1:1" x14ac:dyDescent="0.25">
      <c r="A731" t="s">
        <v>748</v>
      </c>
    </row>
    <row r="732" spans="1:1" x14ac:dyDescent="0.25">
      <c r="A732" t="s">
        <v>749</v>
      </c>
    </row>
    <row r="733" spans="1:1" x14ac:dyDescent="0.25">
      <c r="A733" t="s">
        <v>750</v>
      </c>
    </row>
    <row r="734" spans="1:1" x14ac:dyDescent="0.25">
      <c r="A734" t="s">
        <v>751</v>
      </c>
    </row>
    <row r="735" spans="1:1" x14ac:dyDescent="0.25">
      <c r="A735" t="s">
        <v>752</v>
      </c>
    </row>
    <row r="736" spans="1:1" x14ac:dyDescent="0.25">
      <c r="A736" t="s">
        <v>753</v>
      </c>
    </row>
    <row r="737" spans="1:1" x14ac:dyDescent="0.25">
      <c r="A737" t="s">
        <v>754</v>
      </c>
    </row>
    <row r="738" spans="1:1" x14ac:dyDescent="0.25">
      <c r="A738" t="s">
        <v>755</v>
      </c>
    </row>
    <row r="739" spans="1:1" x14ac:dyDescent="0.25">
      <c r="A739" t="s">
        <v>756</v>
      </c>
    </row>
    <row r="740" spans="1:1" x14ac:dyDescent="0.25">
      <c r="A740" t="s">
        <v>757</v>
      </c>
    </row>
    <row r="741" spans="1:1" x14ac:dyDescent="0.25">
      <c r="A741" t="s">
        <v>758</v>
      </c>
    </row>
    <row r="742" spans="1:1" x14ac:dyDescent="0.25">
      <c r="A742" t="s">
        <v>759</v>
      </c>
    </row>
    <row r="743" spans="1:1" x14ac:dyDescent="0.25">
      <c r="A743" t="s">
        <v>760</v>
      </c>
    </row>
    <row r="744" spans="1:1" x14ac:dyDescent="0.25">
      <c r="A744" t="s">
        <v>761</v>
      </c>
    </row>
    <row r="745" spans="1:1" x14ac:dyDescent="0.25">
      <c r="A745" t="s">
        <v>762</v>
      </c>
    </row>
    <row r="746" spans="1:1" x14ac:dyDescent="0.25">
      <c r="A746" t="s">
        <v>763</v>
      </c>
    </row>
    <row r="747" spans="1:1" x14ac:dyDescent="0.25">
      <c r="A747" t="s">
        <v>764</v>
      </c>
    </row>
    <row r="748" spans="1:1" x14ac:dyDescent="0.25">
      <c r="A748" t="s">
        <v>765</v>
      </c>
    </row>
    <row r="749" spans="1:1" x14ac:dyDescent="0.25">
      <c r="A749" t="s">
        <v>766</v>
      </c>
    </row>
    <row r="750" spans="1:1" x14ac:dyDescent="0.25">
      <c r="A750" t="s">
        <v>767</v>
      </c>
    </row>
    <row r="751" spans="1:1" x14ac:dyDescent="0.25">
      <c r="A751" t="s">
        <v>768</v>
      </c>
    </row>
    <row r="752" spans="1:1" x14ac:dyDescent="0.25">
      <c r="A752" t="s">
        <v>769</v>
      </c>
    </row>
    <row r="753" spans="1:1" x14ac:dyDescent="0.25">
      <c r="A753" t="s">
        <v>770</v>
      </c>
    </row>
    <row r="754" spans="1:1" x14ac:dyDescent="0.25">
      <c r="A754" t="s">
        <v>771</v>
      </c>
    </row>
    <row r="755" spans="1:1" x14ac:dyDescent="0.25">
      <c r="A755" t="s">
        <v>772</v>
      </c>
    </row>
    <row r="756" spans="1:1" x14ac:dyDescent="0.25">
      <c r="A756" t="s">
        <v>773</v>
      </c>
    </row>
    <row r="757" spans="1:1" x14ac:dyDescent="0.25">
      <c r="A757" t="s">
        <v>774</v>
      </c>
    </row>
    <row r="758" spans="1:1" x14ac:dyDescent="0.25">
      <c r="A758" t="s">
        <v>775</v>
      </c>
    </row>
    <row r="759" spans="1:1" x14ac:dyDescent="0.25">
      <c r="A759" t="s">
        <v>776</v>
      </c>
    </row>
    <row r="760" spans="1:1" x14ac:dyDescent="0.25">
      <c r="A760" t="s">
        <v>777</v>
      </c>
    </row>
    <row r="761" spans="1:1" x14ac:dyDescent="0.25">
      <c r="A761" t="s">
        <v>778</v>
      </c>
    </row>
    <row r="762" spans="1:1" x14ac:dyDescent="0.25">
      <c r="A762" t="s">
        <v>779</v>
      </c>
    </row>
    <row r="763" spans="1:1" x14ac:dyDescent="0.25">
      <c r="A763" t="s">
        <v>780</v>
      </c>
    </row>
    <row r="764" spans="1:1" x14ac:dyDescent="0.25">
      <c r="A764" t="s">
        <v>781</v>
      </c>
    </row>
    <row r="765" spans="1:1" x14ac:dyDescent="0.25">
      <c r="A765" t="s">
        <v>782</v>
      </c>
    </row>
    <row r="766" spans="1:1" x14ac:dyDescent="0.25">
      <c r="A766" t="s">
        <v>783</v>
      </c>
    </row>
    <row r="767" spans="1:1" x14ac:dyDescent="0.25">
      <c r="A767" t="s">
        <v>784</v>
      </c>
    </row>
    <row r="768" spans="1:1" x14ac:dyDescent="0.25">
      <c r="A768" t="s">
        <v>785</v>
      </c>
    </row>
    <row r="769" spans="1:1" x14ac:dyDescent="0.25">
      <c r="A769" t="s">
        <v>786</v>
      </c>
    </row>
    <row r="770" spans="1:1" x14ac:dyDescent="0.25">
      <c r="A770" t="s">
        <v>787</v>
      </c>
    </row>
    <row r="771" spans="1:1" x14ac:dyDescent="0.25">
      <c r="A771" t="s">
        <v>788</v>
      </c>
    </row>
    <row r="772" spans="1:1" x14ac:dyDescent="0.25">
      <c r="A772" t="s">
        <v>789</v>
      </c>
    </row>
    <row r="773" spans="1:1" x14ac:dyDescent="0.25">
      <c r="A773" t="s">
        <v>790</v>
      </c>
    </row>
    <row r="774" spans="1:1" x14ac:dyDescent="0.25">
      <c r="A774" t="s">
        <v>791</v>
      </c>
    </row>
    <row r="775" spans="1:1" x14ac:dyDescent="0.25">
      <c r="A775" t="s">
        <v>792</v>
      </c>
    </row>
    <row r="776" spans="1:1" x14ac:dyDescent="0.25">
      <c r="A776" t="s">
        <v>793</v>
      </c>
    </row>
    <row r="777" spans="1:1" x14ac:dyDescent="0.25">
      <c r="A777" t="s">
        <v>794</v>
      </c>
    </row>
    <row r="778" spans="1:1" x14ac:dyDescent="0.25">
      <c r="A778" t="s">
        <v>795</v>
      </c>
    </row>
    <row r="779" spans="1:1" x14ac:dyDescent="0.25">
      <c r="A779" t="s">
        <v>796</v>
      </c>
    </row>
    <row r="780" spans="1:1" x14ac:dyDescent="0.25">
      <c r="A780" t="s">
        <v>797</v>
      </c>
    </row>
    <row r="781" spans="1:1" x14ac:dyDescent="0.25">
      <c r="A781" t="s">
        <v>798</v>
      </c>
    </row>
    <row r="782" spans="1:1" x14ac:dyDescent="0.25">
      <c r="A782" t="s">
        <v>799</v>
      </c>
    </row>
    <row r="783" spans="1:1" x14ac:dyDescent="0.25">
      <c r="A783" t="s">
        <v>800</v>
      </c>
    </row>
    <row r="784" spans="1:1" x14ac:dyDescent="0.25">
      <c r="A784" t="s">
        <v>801</v>
      </c>
    </row>
    <row r="785" spans="1:1" x14ac:dyDescent="0.25">
      <c r="A785" t="s">
        <v>802</v>
      </c>
    </row>
    <row r="786" spans="1:1" x14ac:dyDescent="0.25">
      <c r="A786" t="s">
        <v>803</v>
      </c>
    </row>
    <row r="787" spans="1:1" x14ac:dyDescent="0.25">
      <c r="A787" t="s">
        <v>804</v>
      </c>
    </row>
    <row r="788" spans="1:1" x14ac:dyDescent="0.25">
      <c r="A788" t="s">
        <v>805</v>
      </c>
    </row>
    <row r="789" spans="1:1" x14ac:dyDescent="0.25">
      <c r="A789" t="s">
        <v>806</v>
      </c>
    </row>
    <row r="790" spans="1:1" x14ac:dyDescent="0.25">
      <c r="A790" t="s">
        <v>807</v>
      </c>
    </row>
    <row r="791" spans="1:1" x14ac:dyDescent="0.25">
      <c r="A791" t="s">
        <v>808</v>
      </c>
    </row>
    <row r="792" spans="1:1" x14ac:dyDescent="0.25">
      <c r="A792" t="s">
        <v>809</v>
      </c>
    </row>
    <row r="793" spans="1:1" x14ac:dyDescent="0.25">
      <c r="A793" t="s">
        <v>810</v>
      </c>
    </row>
    <row r="794" spans="1:1" x14ac:dyDescent="0.25">
      <c r="A794" t="s">
        <v>811</v>
      </c>
    </row>
    <row r="795" spans="1:1" x14ac:dyDescent="0.25">
      <c r="A795" t="s">
        <v>812</v>
      </c>
    </row>
    <row r="796" spans="1:1" x14ac:dyDescent="0.25">
      <c r="A796" t="s">
        <v>813</v>
      </c>
    </row>
    <row r="797" spans="1:1" x14ac:dyDescent="0.25">
      <c r="A797" t="s">
        <v>814</v>
      </c>
    </row>
    <row r="798" spans="1:1" x14ac:dyDescent="0.25">
      <c r="A798" t="s">
        <v>815</v>
      </c>
    </row>
    <row r="799" spans="1:1" x14ac:dyDescent="0.25">
      <c r="A799" t="s">
        <v>816</v>
      </c>
    </row>
    <row r="800" spans="1:1" x14ac:dyDescent="0.25">
      <c r="A800" t="s">
        <v>817</v>
      </c>
    </row>
    <row r="801" spans="1:1" x14ac:dyDescent="0.25">
      <c r="A801" t="s">
        <v>818</v>
      </c>
    </row>
    <row r="802" spans="1:1" x14ac:dyDescent="0.25">
      <c r="A802" t="s">
        <v>819</v>
      </c>
    </row>
    <row r="803" spans="1:1" x14ac:dyDescent="0.25">
      <c r="A803" t="s">
        <v>820</v>
      </c>
    </row>
    <row r="804" spans="1:1" x14ac:dyDescent="0.25">
      <c r="A804" t="s">
        <v>821</v>
      </c>
    </row>
    <row r="805" spans="1:1" x14ac:dyDescent="0.25">
      <c r="A805" t="s">
        <v>822</v>
      </c>
    </row>
    <row r="806" spans="1:1" x14ac:dyDescent="0.25">
      <c r="A806" t="s">
        <v>823</v>
      </c>
    </row>
    <row r="807" spans="1:1" x14ac:dyDescent="0.25">
      <c r="A807" t="s">
        <v>824</v>
      </c>
    </row>
    <row r="808" spans="1:1" x14ac:dyDescent="0.25">
      <c r="A808" t="s">
        <v>825</v>
      </c>
    </row>
    <row r="809" spans="1:1" x14ac:dyDescent="0.25">
      <c r="A809" t="s">
        <v>826</v>
      </c>
    </row>
    <row r="810" spans="1:1" x14ac:dyDescent="0.25">
      <c r="A810" t="s">
        <v>827</v>
      </c>
    </row>
    <row r="811" spans="1:1" x14ac:dyDescent="0.25">
      <c r="A811" t="s">
        <v>828</v>
      </c>
    </row>
    <row r="812" spans="1:1" x14ac:dyDescent="0.25">
      <c r="A812" t="s">
        <v>829</v>
      </c>
    </row>
    <row r="813" spans="1:1" x14ac:dyDescent="0.25">
      <c r="A813" t="s">
        <v>830</v>
      </c>
    </row>
    <row r="814" spans="1:1" x14ac:dyDescent="0.25">
      <c r="A814" t="s">
        <v>831</v>
      </c>
    </row>
    <row r="815" spans="1:1" x14ac:dyDescent="0.25">
      <c r="A815" t="s">
        <v>832</v>
      </c>
    </row>
    <row r="816" spans="1:1" x14ac:dyDescent="0.25">
      <c r="A816" t="s">
        <v>833</v>
      </c>
    </row>
    <row r="817" spans="1:2" x14ac:dyDescent="0.25">
      <c r="A817" t="s">
        <v>834</v>
      </c>
    </row>
    <row r="818" spans="1:2" x14ac:dyDescent="0.25">
      <c r="A818" t="s">
        <v>835</v>
      </c>
    </row>
    <row r="819" spans="1:2" x14ac:dyDescent="0.25">
      <c r="A819" t="s">
        <v>836</v>
      </c>
      <c r="B819" t="s">
        <v>837</v>
      </c>
    </row>
    <row r="820" spans="1:2" x14ac:dyDescent="0.25">
      <c r="A820" t="s">
        <v>838</v>
      </c>
    </row>
    <row r="821" spans="1:2" x14ac:dyDescent="0.25">
      <c r="A821" t="s">
        <v>839</v>
      </c>
    </row>
    <row r="822" spans="1:2" x14ac:dyDescent="0.25">
      <c r="A822" t="s">
        <v>840</v>
      </c>
    </row>
    <row r="823" spans="1:2" x14ac:dyDescent="0.25">
      <c r="A823" t="s">
        <v>841</v>
      </c>
    </row>
    <row r="824" spans="1:2" x14ac:dyDescent="0.25">
      <c r="A824" t="s">
        <v>842</v>
      </c>
    </row>
    <row r="825" spans="1:2" x14ac:dyDescent="0.25">
      <c r="A825" t="s">
        <v>843</v>
      </c>
    </row>
    <row r="826" spans="1:2" x14ac:dyDescent="0.25">
      <c r="A826" t="s">
        <v>844</v>
      </c>
    </row>
    <row r="827" spans="1:2" x14ac:dyDescent="0.25">
      <c r="A827" t="s">
        <v>845</v>
      </c>
    </row>
    <row r="828" spans="1:2" x14ac:dyDescent="0.25">
      <c r="A828" t="s">
        <v>846</v>
      </c>
    </row>
    <row r="829" spans="1:2" x14ac:dyDescent="0.25">
      <c r="A829" t="s">
        <v>847</v>
      </c>
    </row>
    <row r="830" spans="1:2" x14ac:dyDescent="0.25">
      <c r="A830" t="s">
        <v>848</v>
      </c>
    </row>
    <row r="831" spans="1:2" x14ac:dyDescent="0.25">
      <c r="A831" t="s">
        <v>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9C2233-F4B8-4A96-8522-35F9962F98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SUBINDUSTRY</vt:lpstr>
      <vt:lpstr>INDUSTRY</vt:lpstr>
      <vt:lpstr>INDUSTRYGROUP</vt:lpstr>
      <vt:lpstr>SECTOR</vt:lpstr>
      <vt:lpstr>ISIC_Rev_5_english_structur (2)</vt:lpstr>
      <vt:lpstr>ISIC_Rev_5_english_structure (1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Hoyeon Yoo</dc:creator>
  <cp:lastModifiedBy>Hoyeon Yoo</cp:lastModifiedBy>
  <dcterms:created xsi:type="dcterms:W3CDTF">2026-01-16T14:18:07Z</dcterms:created>
  <dcterms:modified xsi:type="dcterms:W3CDTF">2026-01-23T13:35:36Z</dcterms:modified>
</cp:coreProperties>
</file>